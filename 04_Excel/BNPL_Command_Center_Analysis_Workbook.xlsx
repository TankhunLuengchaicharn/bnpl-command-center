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4.xml" ContentType="application/vnd.openxmlformats-officedocument.spreadsheetml.worksheet+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5.xml" ContentType="application/vnd.openxmlformats-officedocument.spreadsheetml.worksheet+xml"/>
  <Override PartName="/xl/pivotTables/pivotTable3.xml" ContentType="application/vnd.openxmlformats-officedocument.spreadsheetml.pivotTable+xml"/>
  <Override PartName="/xl/worksheets/sheet6.xml" ContentType="application/vnd.openxmlformats-officedocument.spreadsheetml.worksheet+xml"/>
  <Override PartName="/xl/pivotCache/pivotCacheRecords3.xml" ContentType="application/vnd.openxmlformats-officedocument.spreadsheetml.pivotCacheRecords+xml"/>
  <Override PartName="/xl/pivotCache/pivotCacheDefinition3.xml" ContentType="application/vnd.openxmlformats-officedocument.spreadsheetml.pivotCacheDefinition+xml"/>
  <Override PartName="/xl/pivotTables/pivotTable4.xml" ContentType="application/vnd.openxmlformats-officedocument.spreadsheetml.pivotTable+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tables/table3.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7" activeTab="10" autoFilterDateGrouping="1"/>
  </bookViews>
  <sheets>
    <sheet xmlns:r="http://schemas.openxmlformats.org/officeDocument/2006/relationships" name="Read Me" sheetId="1" state="visible" r:id="rId1"/>
    <sheet xmlns:r="http://schemas.openxmlformats.org/officeDocument/2006/relationships" name="Data_Dictionary" sheetId="2" state="visible" r:id="rId2"/>
    <sheet xmlns:r="http://schemas.openxmlformats.org/officeDocument/2006/relationships" name="Pivot1" sheetId="3" state="visible" r:id="rId3"/>
    <sheet xmlns:r="http://schemas.openxmlformats.org/officeDocument/2006/relationships" name="Pivot2" sheetId="4" state="visible" r:id="rId4"/>
    <sheet xmlns:r="http://schemas.openxmlformats.org/officeDocument/2006/relationships" name="Pivot3" sheetId="5" state="visible" r:id="rId5"/>
    <sheet xmlns:r="http://schemas.openxmlformats.org/officeDocument/2006/relationships" name="Pivot4" sheetId="6" state="visible" r:id="rId6"/>
    <sheet xmlns:r="http://schemas.openxmlformats.org/officeDocument/2006/relationships" name="Raw_Transactions" sheetId="7" state="visible" r:id="rId7"/>
    <sheet xmlns:r="http://schemas.openxmlformats.org/officeDocument/2006/relationships" name="Raw_Customers" sheetId="8" state="visible" r:id="rId8"/>
    <sheet xmlns:r="http://schemas.openxmlformats.org/officeDocument/2006/relationships" name="Raw_Offers" sheetId="9" state="visible" r:id="rId9"/>
    <sheet xmlns:r="http://schemas.openxmlformats.org/officeDocument/2006/relationships" name="Data_Quality_QA" sheetId="10" state="visible" r:id="rId10"/>
    <sheet xmlns:r="http://schemas.openxmlformats.org/officeDocument/2006/relationships" name="Customer_Lookup" sheetId="11" state="visible" r:id="rId11"/>
    <sheet xmlns:r="http://schemas.openxmlformats.org/officeDocument/2006/relationships" name="Conversion_Funnel" sheetId="12" state="visible" r:id="rId12"/>
    <sheet xmlns:r="http://schemas.openxmlformats.org/officeDocument/2006/relationships" name="Revenue_Model" sheetId="13" state="visible" r:id="rId13"/>
    <sheet xmlns:r="http://schemas.openxmlformats.org/officeDocument/2006/relationships" name="PivotTable_Tasks" sheetId="14" state="visible" r:id="rId14"/>
    <sheet xmlns:r="http://schemas.openxmlformats.org/officeDocument/2006/relationships" name="Key_Insights" sheetId="15" state="visible" r:id="rId15"/>
  </sheets>
  <definedNames/>
  <calcPr calcId="191029" fullCalcOnLoad="1" iterateDelta="0.0001"/>
  <pivotCaches>
    <pivotCache xmlns:r="http://schemas.openxmlformats.org/officeDocument/2006/relationships" cacheId="3" r:id="rId16"/>
    <pivotCache xmlns:r="http://schemas.openxmlformats.org/officeDocument/2006/relationships" cacheId="1" r:id="rId17"/>
    <pivotCache xmlns:r="http://schemas.openxmlformats.org/officeDocument/2006/relationships" cacheId="2" r:id="rId18"/>
  </pivotCaches>
</workbook>
</file>

<file path=xl/styles.xml><?xml version="1.0" encoding="utf-8"?>
<styleSheet xmlns="http://schemas.openxmlformats.org/spreadsheetml/2006/main">
  <numFmts count="1">
    <numFmt numFmtId="164" formatCode="yyyy\-mm\-dd"/>
  </numFmts>
  <fonts count="13">
    <font>
      <name val="Calibri"/>
      <charset val="1"/>
      <family val="2"/>
      <color theme="1"/>
      <sz val="11"/>
    </font>
    <font>
      <name val="Calibri"/>
      <charset val="1"/>
      <family val="2"/>
      <b val="1"/>
      <color theme="1"/>
      <sz val="11"/>
    </font>
    <font>
      <name val="Calibri"/>
      <charset val="1"/>
      <b val="1"/>
      <color rgb="FF1F3864"/>
      <sz val="18"/>
    </font>
    <font>
      <name val="Calibri"/>
      <charset val="1"/>
      <color rgb="FF333333"/>
      <sz val="11"/>
    </font>
    <font>
      <name val="Calibri"/>
      <charset val="1"/>
      <b val="1"/>
      <color rgb="FF1F3864"/>
      <sz val="13"/>
    </font>
    <font>
      <name val="Calibri"/>
      <charset val="1"/>
      <b val="1"/>
      <color rgb="FFFFFFFF"/>
      <sz val="11"/>
    </font>
    <font>
      <name val="Calibri"/>
      <charset val="1"/>
      <i val="1"/>
      <color rgb="FF666666"/>
      <sz val="10"/>
    </font>
    <font>
      <name val="Calibri"/>
      <charset val="1"/>
      <b val="1"/>
      <color rgb="FF0070C0"/>
      <sz val="11"/>
    </font>
    <font>
      <name val="Cambria"/>
      <charset val="1"/>
      <sz val="11"/>
    </font>
    <font>
      <name val="Cambria"/>
      <charset val="1"/>
      <b val="1"/>
      <color rgb="FF333333"/>
      <sz val="11"/>
    </font>
    <font>
      <name val="Cambria"/>
      <charset val="1"/>
      <color rgb="FF333333"/>
      <sz val="11"/>
    </font>
    <font>
      <name val="Calibri"/>
      <charset val="1"/>
      <b val="1"/>
      <sz val="11"/>
    </font>
    <font>
      <name val="Calibri"/>
      <charset val="1"/>
      <family val="2"/>
      <color theme="1"/>
      <sz val="11"/>
    </font>
  </fonts>
  <fills count="5">
    <fill>
      <patternFill/>
    </fill>
    <fill>
      <patternFill patternType="gray125"/>
    </fill>
    <fill>
      <patternFill patternType="solid">
        <fgColor rgb="FF1F3864"/>
        <bgColor rgb="FF333333"/>
      </patternFill>
    </fill>
    <fill>
      <patternFill patternType="solid">
        <fgColor rgb="FFD9EAD3"/>
        <bgColor rgb="FFCCFFFF"/>
      </patternFill>
    </fill>
    <fill>
      <patternFill patternType="solid">
        <fgColor rgb="FFFFF2A6"/>
        <bgColor rgb="FFFFFFCC"/>
      </patternFill>
    </fill>
  </fills>
  <borders count="11">
    <border>
      <left/>
      <right/>
      <top/>
      <bottom/>
      <diagonal/>
    </border>
    <border>
      <left style="medium">
        <color auto="1"/>
      </left>
      <right style="thin">
        <color auto="1"/>
      </right>
      <top style="thin">
        <color auto="1"/>
      </top>
      <bottom/>
      <diagonal/>
    </border>
    <border>
      <left style="medium">
        <color auto="1"/>
      </left>
      <right style="thin">
        <color auto="1"/>
      </right>
      <top/>
      <bottom/>
      <diagonal/>
    </border>
    <border>
      <left style="medium">
        <color auto="1"/>
      </left>
      <right style="thin">
        <color auto="1"/>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diagonal/>
    </border>
    <border>
      <left style="thin">
        <color auto="1"/>
      </left>
      <right style="medium">
        <color auto="1"/>
      </right>
      <top/>
      <bottom/>
      <diagonal/>
    </border>
    <border>
      <left style="thin">
        <color auto="1"/>
      </left>
      <right style="medium">
        <color auto="1"/>
      </right>
      <top/>
      <bottom style="thin">
        <color auto="1"/>
      </bottom>
      <diagonal/>
    </border>
    <border>
      <left style="thin">
        <color auto="1"/>
      </left>
      <right style="medium">
        <color auto="1"/>
      </right>
      <top style="thin">
        <color auto="1"/>
      </top>
      <bottom style="medium">
        <color auto="1"/>
      </bottom>
      <diagonal/>
    </border>
    <border>
      <left style="thin">
        <color rgb="FFBFBFBF"/>
      </left>
      <right style="thin">
        <color rgb="FFBFBFBF"/>
      </right>
      <top style="thin">
        <color rgb="FFBFBFBF"/>
      </top>
      <bottom style="thin">
        <color rgb="FFBFBFBF"/>
      </bottom>
      <diagonal/>
    </border>
  </borders>
  <cellStyleXfs count="7">
    <xf numFmtId="0" fontId="12" fillId="0" borderId="0"/>
    <xf numFmtId="0" fontId="12" fillId="0" borderId="0"/>
    <xf numFmtId="0" fontId="12" fillId="0" borderId="0"/>
    <xf numFmtId="0" fontId="12" fillId="0" borderId="0"/>
    <xf numFmtId="0" fontId="12" fillId="0" borderId="0" applyAlignment="1">
      <alignment horizontal="left"/>
    </xf>
    <xf numFmtId="0" fontId="1" fillId="0" borderId="0" applyAlignment="1">
      <alignment horizontal="left"/>
    </xf>
    <xf numFmtId="0" fontId="1" fillId="0" borderId="0"/>
  </cellStyleXfs>
  <cellXfs count="46">
    <xf numFmtId="0" fontId="0" fillId="0" borderId="0" pivotButton="0" quotePrefix="0" xfId="0"/>
    <xf numFmtId="0" fontId="6" fillId="0" borderId="0" applyAlignment="1" pivotButton="0" quotePrefix="0" xfId="0">
      <alignment vertical="top" wrapText="1"/>
    </xf>
    <xf numFmtId="0" fontId="6" fillId="0" borderId="0" pivotButton="0" quotePrefix="0" xfId="0"/>
    <xf numFmtId="0" fontId="6" fillId="0" borderId="0" applyAlignment="1" pivotButton="0" quotePrefix="0" xfId="0">
      <alignment wrapText="1"/>
    </xf>
    <xf numFmtId="0" fontId="4" fillId="0" borderId="0" pivotButton="0" quotePrefix="0" xfId="0"/>
    <xf numFmtId="0" fontId="3" fillId="0" borderId="0" applyAlignment="1" pivotButton="0" quotePrefix="0" xfId="0">
      <alignment wrapText="1"/>
    </xf>
    <xf numFmtId="0" fontId="3" fillId="0" borderId="0" applyAlignment="1" pivotButton="0" quotePrefix="0" xfId="0">
      <alignment vertical="top" wrapText="1"/>
    </xf>
    <xf numFmtId="0" fontId="2" fillId="0" borderId="0" pivotButton="0" quotePrefix="0" xfId="0"/>
    <xf numFmtId="0" fontId="5" fillId="2" borderId="0" pivotButton="0" quotePrefix="0" xfId="0"/>
    <xf numFmtId="0" fontId="3" fillId="0" borderId="0" applyAlignment="1" pivotButton="0" quotePrefix="0" xfId="0">
      <alignment vertical="top"/>
    </xf>
    <xf numFmtId="0" fontId="3" fillId="0" borderId="0" pivotButton="0" quotePrefix="0" xfId="0"/>
    <xf numFmtId="0" fontId="12" fillId="0" borderId="1" applyAlignment="1" pivotButton="0" quotePrefix="0" xfId="4">
      <alignment horizontal="left"/>
    </xf>
    <xf numFmtId="0" fontId="12" fillId="0" borderId="2" applyAlignment="1" pivotButton="0" quotePrefix="0" xfId="4">
      <alignment horizontal="left"/>
    </xf>
    <xf numFmtId="0" fontId="1" fillId="0" borderId="3" applyAlignment="1" pivotButton="0" quotePrefix="0" xfId="5">
      <alignment horizontal="left"/>
    </xf>
    <xf numFmtId="0" fontId="12" fillId="0" borderId="4" pivotButton="0" quotePrefix="0" xfId="3"/>
    <xf numFmtId="0" fontId="12" fillId="0" borderId="5" pivotButton="0" quotePrefix="0" xfId="1"/>
    <xf numFmtId="0" fontId="12" fillId="0" borderId="6" pivotButton="0" quotePrefix="0" xfId="2"/>
    <xf numFmtId="0" fontId="12" fillId="0" borderId="7" pivotButton="0" quotePrefix="0" xfId="2"/>
    <xf numFmtId="0" fontId="12" fillId="0" borderId="8" pivotButton="0" quotePrefix="0" xfId="2"/>
    <xf numFmtId="0" fontId="1" fillId="0" borderId="9" pivotButton="0" quotePrefix="0" xfId="6"/>
    <xf numFmtId="164" fontId="0" fillId="0" borderId="0" pivotButton="0" quotePrefix="0" xfId="0"/>
    <xf numFmtId="0" fontId="0" fillId="3" borderId="10" pivotButton="0" quotePrefix="0" xfId="0"/>
    <xf numFmtId="0" fontId="7" fillId="4" borderId="0" pivotButton="0" quotePrefix="0" xfId="0"/>
    <xf numFmtId="0" fontId="8" fillId="0" borderId="0" pivotButton="0" quotePrefix="0" xfId="0"/>
    <xf numFmtId="1" fontId="7" fillId="4" borderId="10" pivotButton="0" quotePrefix="0" xfId="0"/>
    <xf numFmtId="3" fontId="7" fillId="4" borderId="10" pivotButton="0" quotePrefix="0" xfId="0"/>
    <xf numFmtId="0" fontId="5" fillId="2" borderId="0" applyAlignment="1" pivotButton="0" quotePrefix="0" xfId="0">
      <alignment horizontal="center" vertical="center" wrapText="1"/>
    </xf>
    <xf numFmtId="0" fontId="8" fillId="0" borderId="0" applyAlignment="1" pivotButton="0" quotePrefix="0" xfId="0">
      <alignment horizontal="center" vertical="center" wrapText="1"/>
    </xf>
    <xf numFmtId="3" fontId="8" fillId="3" borderId="10" pivotButton="0" quotePrefix="0" xfId="0"/>
    <xf numFmtId="1" fontId="8" fillId="3" borderId="10" pivotButton="0" quotePrefix="0" xfId="0"/>
    <xf numFmtId="0" fontId="9" fillId="0" borderId="0" pivotButton="0" quotePrefix="0" xfId="0"/>
    <xf numFmtId="0" fontId="8" fillId="0" borderId="0" applyAlignment="1" pivotButton="0" quotePrefix="0" xfId="0">
      <alignment wrapText="1"/>
    </xf>
    <xf numFmtId="1" fontId="10" fillId="0" borderId="0" pivotButton="0" quotePrefix="0" xfId="0"/>
    <xf numFmtId="3" fontId="0" fillId="3" borderId="10" pivotButton="0" quotePrefix="0" xfId="0"/>
    <xf numFmtId="0" fontId="11" fillId="0" borderId="0" applyAlignment="1" pivotButton="0" quotePrefix="0" xfId="0">
      <alignment vertical="top" wrapText="1"/>
    </xf>
    <xf numFmtId="0" fontId="0" fillId="3" borderId="10" applyAlignment="1" pivotButton="0" quotePrefix="0" xfId="0">
      <alignment vertical="top" wrapText="1"/>
    </xf>
    <xf numFmtId="0" fontId="6" fillId="0" borderId="0" pivotButton="0" quotePrefix="0" xfId="0"/>
    <xf numFmtId="0" fontId="6" fillId="0" borderId="0" applyAlignment="1" pivotButton="0" quotePrefix="0" xfId="0">
      <alignment wrapText="1"/>
    </xf>
    <xf numFmtId="0" fontId="3" fillId="0" borderId="0" applyAlignment="1" pivotButton="0" quotePrefix="0" xfId="0">
      <alignment vertical="top" wrapText="1"/>
    </xf>
    <xf numFmtId="0" fontId="3" fillId="0" borderId="0" applyAlignment="1" pivotButton="0" quotePrefix="0" xfId="0">
      <alignment wrapText="1"/>
    </xf>
    <xf numFmtId="0" fontId="4" fillId="0" borderId="0" pivotButton="0" quotePrefix="0" xfId="0"/>
    <xf numFmtId="0" fontId="6" fillId="0" borderId="0" applyAlignment="1" pivotButton="0" quotePrefix="0" xfId="0">
      <alignment vertical="top" wrapText="1"/>
    </xf>
    <xf numFmtId="0" fontId="3" fillId="0" borderId="0" applyAlignment="1" pivotButton="0" quotePrefix="0" xfId="0">
      <alignment vertical="center" wrapText="1"/>
    </xf>
    <xf numFmtId="0" fontId="0" fillId="0" borderId="0" pivotButton="1" quotePrefix="0" xfId="0"/>
    <xf numFmtId="0" fontId="0" fillId="0" borderId="0" applyAlignment="1" pivotButton="0" quotePrefix="0" xfId="0">
      <alignment horizontal="left"/>
    </xf>
    <xf numFmtId="0" fontId="0" fillId="0" borderId="0" pivotButton="0" quotePrefix="0" xfId="0"/>
  </cellXfs>
  <cellStyles count="7">
    <cellStyle name="Normal" xfId="0" builtinId="0"/>
    <cellStyle name="Pivot Table Corner" xfId="1"/>
    <cellStyle name="Pivot Table Value" xfId="2"/>
    <cellStyle name="Pivot Table Field" xfId="3"/>
    <cellStyle name="Pivot Table Category" xfId="4"/>
    <cellStyle name="Pivot Table Title" xfId="5"/>
    <cellStyle name="Pivot Table Result" xfId="6"/>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70C0"/>
      <rgbColor rgb="FFCCCCFF"/>
      <rgbColor rgb="FF000080"/>
      <rgbColor rgb="FFFF00FF"/>
      <rgbColor rgb="FFFFFF00"/>
      <rgbColor rgb="FF00FFFF"/>
      <rgbColor rgb="FF800080"/>
      <rgbColor rgb="FF800000"/>
      <rgbColor rgb="FF008080"/>
      <rgbColor rgb="FF0000FF"/>
      <rgbColor rgb="FF00CCFF"/>
      <rgbColor rgb="FFCCFFFF"/>
      <rgbColor rgb="FFD9EAD3"/>
      <rgbColor rgb="FFFFF2A6"/>
      <rgbColor rgb="FF99CCFF"/>
      <rgbColor rgb="FFFF99CC"/>
      <rgbColor rgb="FFCC99FF"/>
      <rgbColor rgb="FFFFCC99"/>
      <rgbColor rgb="FF3366FF"/>
      <rgbColor rgb="FF33CCCC"/>
      <rgbColor rgb="FF99CC00"/>
      <rgbColor rgb="FFFFCC00"/>
      <rgbColor rgb="FFFF9900"/>
      <rgbColor rgb="FFFF6600"/>
      <rgbColor rgb="FF666666"/>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pivotCacheDefinition" Target="/xl/pivotCache/pivotCacheDefinition1.xml" Id="rId16"/><Relationship Type="http://schemas.openxmlformats.org/officeDocument/2006/relationships/pivotCacheDefinition" Target="/xl/pivotCache/pivotCacheDefinition2.xml" Id="rId17"/><Relationship Type="http://schemas.openxmlformats.org/officeDocument/2006/relationships/pivotCacheDefinition" Target="/xl/pivotCache/pivotCacheDefinition3.xml" Id="rId18"/><Relationship Type="http://schemas.openxmlformats.org/officeDocument/2006/relationships/styles" Target="styles.xml" Id="rId19"/><Relationship Type="http://schemas.openxmlformats.org/officeDocument/2006/relationships/theme" Target="theme/theme1.xml" Id="rId20"/></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Relationships>
</file>

<file path=xl/pivotCache/_rels/pivotCacheDefinition3.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edDate="0" createdVersion="3" recordCount="90" r:id="rId1">
  <cacheSource type="worksheet">
    <worksheetSource ref="A1:J91" sheet="Raw_Transactions"/>
  </cacheSource>
  <cacheFields count="11">
    <cacheField name="ObligationID" uniqueList="1" numFmtId="0" sqlType="0" hierarchy="0" level="0" databaseField="1">
      <sharedItems count="90" containsInteger="1" containsNumber="1" containsSemiMixedTypes="0" containsString="0" minValue="1" maxValue="9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sharedItems>
    </cacheField>
    <cacheField name="CustomerID" uniqueList="1" numFmtId="0" sqlType="0" hierarchy="0" level="0" databaseField="1">
      <sharedItems count="16" containsInteger="1" containsNumber="1" containsSemiMixedTypes="0" containsString="0" minValue="101" maxValue="116">
        <n v="101"/>
        <n v="102"/>
        <n v="103"/>
        <n v="104"/>
        <n v="105"/>
        <n v="106"/>
        <n v="107"/>
        <n v="108"/>
        <n v="109"/>
        <n v="110"/>
        <n v="111"/>
        <n v="112"/>
        <n v="113"/>
        <n v="114"/>
        <n v="115"/>
        <n v="116"/>
      </sharedItems>
    </cacheField>
    <cacheField name="CustomerName" uniqueList="1" numFmtId="0" sqlType="0" hierarchy="0" level="0" databaseField="1">
      <sharedItems count="16">
        <s v="Amporn Silpachai"/>
        <s v="Anan Chaiyaporn"/>
        <s v="Boonsong Meechai"/>
        <s v="Chatchai Kiatkamon"/>
        <s v="Kanya Ruangrit"/>
        <s v="Kittipong Srisuk"/>
        <s v="Malee Thongdee"/>
        <s v="Nittaya Wongsawat"/>
        <s v="Pornthip Suksawat"/>
        <s v="Prasert Rattanakul"/>
        <s v="Siriporn Nakornthap"/>
        <s v="Somchai Jaidee"/>
        <s v="Somsak Pattaraporn"/>
        <s v="Suda Panyawong"/>
        <s v="Wanida Boonmee"/>
        <s v="Wichai Amnuayporn"/>
      </sharedItems>
    </cacheField>
    <cacheField name="Provider" uniqueList="1" numFmtId="0" sqlType="0" hierarchy="0" level="0" databaseField="1">
      <sharedItems count="5">
        <s v="Atome"/>
        <s v="Grab PayLater"/>
        <s v="LazPayLater"/>
        <s v="Shopee SPayLater"/>
        <s v="TrueMoney Next"/>
      </sharedItems>
    </cacheField>
    <cacheField name="DueDate" uniqueList="1" numFmtId="0" sqlType="0" hierarchy="0" level="0" databaseField="1">
      <sharedItems count="66" containsDate="1" containsNonDate="0" containsSemiMixedTypes="0" containsString="0" minDate="2026-03-02T00:00:00" maxDate="2026-05-27T00:00:00">
        <d v="2026-03-02T00:00:00"/>
        <d v="2026-03-04T00:00:00"/>
        <d v="2026-03-05T00:00:00"/>
        <d v="2026-03-06T00:00:00"/>
        <d v="2026-03-07T00:00:00"/>
        <d v="2026-03-08T00:00:00"/>
        <d v="2026-03-09T00:00:00"/>
        <d v="2026-03-10T00:00:00"/>
        <d v="2026-03-11T00:00:00"/>
        <d v="2026-03-12T00:00:00"/>
        <d v="2026-03-13T00:00:00"/>
        <d v="2026-03-14T00:00:00"/>
        <d v="2026-03-15T00:00:00"/>
        <d v="2026-03-16T00:00:00"/>
        <d v="2026-03-17T00:00:00"/>
        <d v="2026-03-18T00:00:00"/>
        <d v="2026-03-19T00:00:00"/>
        <d v="2026-03-20T00:00:00"/>
        <d v="2026-03-21T00:00:00"/>
        <d v="2026-03-22T00:00:00"/>
        <d v="2026-03-23T00:00:00"/>
        <d v="2026-03-27T00:00:00"/>
        <d v="2026-04-02T00:00:00"/>
        <d v="2026-04-04T00:00:00"/>
        <d v="2026-04-05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7T00:00:00"/>
        <d v="2026-05-02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7T00:00:00"/>
      </sharedItems>
      <fieldGroup par="10"/>
    </cacheField>
    <cacheField name="ExpectedAmount" uniqueList="1" numFmtId="0" sqlType="0" hierarchy="0" level="0" databaseField="1">
      <sharedItems count="19" containsInteger="1" containsNumber="1" containsSemiMixedTypes="0" containsString="0" minValue="350" maxValue="2500">
        <n v="350"/>
        <n v="400"/>
        <n v="450"/>
        <n v="500"/>
        <n v="550"/>
        <n v="600"/>
        <n v="650"/>
        <n v="700"/>
        <n v="800"/>
        <n v="900"/>
        <n v="950"/>
        <n v="1000"/>
        <n v="1100"/>
        <n v="1200"/>
        <n v="1300"/>
        <n v="1500"/>
        <n v="1800"/>
        <n v="2000"/>
        <n v="2500"/>
      </sharedItems>
    </cacheField>
    <cacheField name="ActualPaidAmount" uniqueList="1" numFmtId="0" sqlType="0" hierarchy="0" level="0" databaseField="1">
      <sharedItems count="31" containsInteger="1" containsNumber="1" containsSemiMixedTypes="0" containsString="0" minValue="350" maxValue="2500">
        <n v="350"/>
        <n v="400"/>
        <n v="450"/>
        <n v="495"/>
        <n v="500"/>
        <n v="550"/>
        <n v="600"/>
        <n v="615"/>
        <n v="650"/>
        <n v="690"/>
        <n v="700"/>
        <n v="730"/>
        <n v="735"/>
        <n v="800"/>
        <n v="875"/>
        <n v="900"/>
        <n v="950"/>
        <n v="980"/>
        <n v="1000"/>
        <n v="1100"/>
        <n v="1200"/>
        <n v="1265"/>
        <n v="1300"/>
        <n v="1450"/>
        <n v="1500"/>
        <n v="1650"/>
        <n v="1800"/>
        <n v="2000"/>
        <n v="2070"/>
        <n v="2300"/>
        <n v="2500"/>
      </sharedItems>
    </cacheField>
    <cacheField name="DaysLate" uniqueList="1" numFmtId="0" sqlType="0" hierarchy="0" level="0" databaseField="1">
      <sharedItems count="9" containsInteger="1" containsNumber="1" containsSemiMixedTypes="0" containsString="0" minValue="0" maxValue="15">
        <n v="0"/>
        <n v="7"/>
        <n v="8"/>
        <n v="9"/>
        <n v="10"/>
        <n v="11"/>
        <n v="13"/>
        <n v="14"/>
        <n v="15"/>
      </sharedItems>
    </cacheField>
    <cacheField name="Cycle" uniqueList="1" numFmtId="0" sqlType="0" hierarchy="0" level="0" databaseField="1">
      <sharedItems count="3" containsInteger="1" containsNumber="1" containsSemiMixedTypes="0" containsString="0" minValue="1" maxValue="3">
        <n v="1"/>
        <n v="2"/>
        <n v="3"/>
      </sharedItems>
    </cacheField>
    <cacheField name="ExtraCharged" uniqueList="1" numFmtId="0" sqlType="0" hierarchy="0" level="0" databaseField="1">
      <sharedItems count="14" containsInteger="1" containsNumber="1" containsSemiMixedTypes="0" containsString="0" minValue="0" maxValue="300">
        <n v="0"/>
        <n v="95"/>
        <n v="100"/>
        <n v="115"/>
        <n v="130"/>
        <n v="135"/>
        <n v="140"/>
        <n v="150"/>
        <n v="165"/>
        <n v="175"/>
        <n v="180"/>
        <n v="250"/>
        <n v="270"/>
        <n v="300"/>
      </sharedItems>
    </cacheField>
    <cacheField name="Months (DueDate)" uniqueList="1" numFmtId="0" sqlType="0" hierarchy="0" level="0" databaseField="0">
      <fieldGroup base="4">
        <rangePr autoStart="1" autoEnd="1" groupBy="months" startDate="2026-03-02T00:00:00" endDate="2026-05-27T00:00:00" groupInterval="1"/>
        <groupItems count="14">
          <s v="&lt;2/3/2026"/>
          <s v="ม.ค."/>
          <s v="ก.พ."/>
          <s v="มี.ค."/>
          <s v="เม.ย."/>
          <s v="พ.ค."/>
          <s v="มิ.ย."/>
          <s v="ก.ค."/>
          <s v="ส.ค."/>
          <s v="ก.ย."/>
          <s v="ต.ค."/>
          <s v="พ.ย."/>
          <s v="ธ.ค."/>
          <s v="&gt;27/5/2026"/>
        </groupItems>
      </fieldGroup>
    </cacheField>
  </cacheFields>
</pivotCacheDefinition>
</file>

<file path=xl/pivotCache/pivotCacheDefinition2.xml><?xml version="1.0" encoding="utf-8"?>
<pivotCacheDefinition xmlns:r="http://schemas.openxmlformats.org/officeDocument/2006/relationships" xmlns="http://schemas.openxmlformats.org/spreadsheetml/2006/main" refreshedDate="0" createdVersion="3" recordCount="20" r:id="rId1">
  <cacheSource type="worksheet">
    <worksheetSource ref="A1:G21" sheet="Raw_Customers"/>
  </cacheSource>
  <cacheFields count="7">
    <cacheField name="CustomerID" uniqueList="1" numFmtId="0" sqlType="0" hierarchy="0" level="0" databaseField="1">
      <sharedItems count="20" containsInteger="1" containsNumber="1" containsSemiMixedTypes="0" containsString="0" minValue="101" maxValue="120">
        <n v="101"/>
        <n v="102"/>
        <n v="103"/>
        <n v="104"/>
        <n v="105"/>
        <n v="106"/>
        <n v="107"/>
        <n v="108"/>
        <n v="109"/>
        <n v="110"/>
        <n v="111"/>
        <n v="112"/>
        <n v="113"/>
        <n v="114"/>
        <n v="115"/>
        <n v="116"/>
        <n v="117"/>
        <n v="118"/>
        <n v="119"/>
        <n v="120"/>
      </sharedItems>
    </cacheField>
    <cacheField name="FullName" uniqueList="1" numFmtId="0" sqlType="0" hierarchy="0" level="0" databaseField="1">
      <sharedItems count="20">
        <s v="Amporn Silpachai"/>
        <s v="Anan Chaiyaporn"/>
        <s v="Boonsong Meechai"/>
        <s v="Chatchai Kiatkamon"/>
        <s v="Direk Wattanasin"/>
        <s v="Kanya Ruangrit"/>
        <s v="Kittipong Srisuk"/>
        <s v="Malee Thongdee"/>
        <s v="Nittaya Wongsawat"/>
        <s v="Pornthip Suksawat"/>
        <s v="Prasert Rattanakul"/>
        <s v="Ratana Chotisiri"/>
        <s v="Siriporn Nakornthap"/>
        <s v="Sombat Uthairat"/>
        <s v="Somchai Jaidee"/>
        <s v="Somsak Pattaraporn"/>
        <s v="Suda Panyawong"/>
        <s v="Wanida Boonmee"/>
        <s v="Wassana Intharaphan"/>
        <s v="Wichai Amnuayporn"/>
      </sharedItems>
    </cacheField>
    <cacheField name="MonthlyIncome" uniqueList="1" numFmtId="0" sqlType="0" hierarchy="0" level="0" databaseField="1">
      <sharedItems count="20" containsInteger="1" containsNumber="1" containsSemiMixedTypes="0" containsString="0" minValue="18000" maxValue="75000">
        <n v="18000"/>
        <n v="19500"/>
        <n v="21000"/>
        <n v="22000"/>
        <n v="27000"/>
        <n v="29000"/>
        <n v="32000"/>
        <n v="33000"/>
        <n v="36000"/>
        <n v="38000"/>
        <n v="41000"/>
        <n v="44000"/>
        <n v="45000"/>
        <n v="47000"/>
        <n v="48000"/>
        <n v="52000"/>
        <n v="55000"/>
        <n v="60000"/>
        <n v="62000"/>
        <n v="75000"/>
      </sharedItems>
    </cacheField>
    <cacheField name="CreditScore" uniqueList="1" numFmtId="0" sqlType="0" hierarchy="0" level="0" databaseField="1">
      <sharedItems count="9" containsBlank="1" containsInteger="1" containsNumber="1" containsString="0" minValue="530" maxValue="715">
        <n v="530"/>
        <n v="545"/>
        <n v="560"/>
        <n v="572"/>
        <n v="680"/>
        <n v="690"/>
        <n v="702"/>
        <n v="715"/>
        <m/>
      </sharedItems>
    </cacheField>
    <cacheField name="DSR_Pct" uniqueList="1" numFmtId="0" sqlType="0" hierarchy="0" level="0" databaseField="1">
      <sharedItems count="9" containsBlank="1" containsNumber="1" containsString="0" minValue="0.325" maxValue="0.63">
        <n v="0.325"/>
        <n v="0.382"/>
        <n v="0.41"/>
        <n v="0.448"/>
        <n v="0.555"/>
        <n v="0.58"/>
        <n v="0.61"/>
        <n v="0.63"/>
        <m/>
      </sharedItems>
    </cacheField>
    <cacheField name="EligibilityOutcome" uniqueList="1" numFmtId="0" sqlType="0" hierarchy="0" level="0" databaseField="1">
      <sharedItems count="3">
        <s v="Eligible"/>
        <s v="Not Eligible"/>
        <s v="Not Screened"/>
      </sharedItems>
    </cacheField>
    <cacheField name="Segment" uniqueList="1" numFmtId="0" sqlType="0" hierarchy="0" level="0" databaseField="1">
      <sharedItems count="4">
        <s v="Not a BNPL user"/>
        <s v="Single provider"/>
        <s v="Stacked - at risk"/>
        <s v="Stacked - healthy"/>
      </sharedItems>
    </cacheField>
  </cacheFields>
</pivotCacheDefinition>
</file>

<file path=xl/pivotCache/pivotCacheDefinition3.xml><?xml version="1.0" encoding="utf-8"?>
<pivotCacheDefinition xmlns:r="http://schemas.openxmlformats.org/officeDocument/2006/relationships" xmlns="http://schemas.openxmlformats.org/spreadsheetml/2006/main" refreshedDate="0" createdVersion="3" recordCount="4" r:id="rId1">
  <cacheSource type="worksheet">
    <worksheetSource ref="A1:G5" sheet="Raw_Offers"/>
  </cacheSource>
  <cacheFields count="7">
    <cacheField name="CustomerID" uniqueList="1" numFmtId="0" sqlType="0" hierarchy="0" level="0" databaseField="1">
      <sharedItems count="4" containsInteger="1" containsNumber="1" containsSemiMixedTypes="0" containsString="0" minValue="101" maxValue="104">
        <n v="101"/>
        <n v="102"/>
        <n v="103"/>
        <n v="104"/>
      </sharedItems>
    </cacheField>
    <cacheField name="FullName" uniqueList="1" numFmtId="0" sqlType="0" hierarchy="0" level="0" databaseField="1">
      <sharedItems count="4">
        <s v="Anan Chaiyaporn"/>
        <s v="Nittaya Wongsawat"/>
        <s v="Somchai Jaidee"/>
        <s v="Suda Panyawong"/>
      </sharedItems>
    </cacheField>
    <cacheField name="OfferDate" uniqueList="1" numFmtId="0" sqlType="0" hierarchy="0" level="0" databaseField="1">
      <sharedItems count="4" containsDate="1" containsNonDate="0" containsSemiMixedTypes="0" containsString="0" minDate="2026-05-20T00:00:00" maxDate="2026-05-30T00:00:00">
        <d v="2026-05-20T00:00:00"/>
        <d v="2026-05-23T00:00:00"/>
        <d v="2026-05-27T00:00:00"/>
        <d v="2026-05-30T00:00:00"/>
      </sharedItems>
    </cacheField>
    <cacheField name="TotalAmount" uniqueList="1" numFmtId="0" sqlType="0" hierarchy="0" level="0" databaseField="1">
      <sharedItems count="4" containsInteger="1" containsNumber="1" containsSemiMixedTypes="0" containsString="0" minValue="1730" maxValue="4400">
        <n v="1730"/>
        <n v="2000"/>
        <n v="3335"/>
        <n v="4400"/>
      </sharedItems>
    </cacheField>
    <cacheField name="OfferedRatePct" uniqueList="1" numFmtId="0" sqlType="0" hierarchy="0" level="0" databaseField="1">
      <sharedItems count="2" containsNumber="1" containsSemiMixedTypes="0" containsString="0" minValue="0.14" maxValue="0.15">
        <n v="0.14"/>
        <n v="0.15"/>
      </sharedItems>
    </cacheField>
    <cacheField name="MonthlyPayment" uniqueList="1" numFmtId="0" sqlType="0" hierarchy="0" level="0" databaseField="1">
      <sharedItems count="4" containsInteger="1" containsNumber="1" containsSemiMixedTypes="0" containsString="0" minValue="149" maxValue="385">
        <n v="149"/>
        <n v="180"/>
        <n v="291"/>
        <n v="385"/>
      </sharedItems>
    </cacheField>
    <cacheField name="Status" uniqueList="1" numFmtId="0" sqlType="0" hierarchy="0" level="0" databaseField="1">
      <sharedItems count="2">
        <s v="Accepted"/>
        <s v="Declined"/>
      </sharedItems>
    </cacheField>
  </cacheFields>
</pivotCacheDefinition>
</file>

<file path=xl/pivotCache/pivotCacheRecords1.xml><?xml version="1.0" encoding="utf-8"?>
<pivotCacheRecords xmlns="http://schemas.openxmlformats.org/spreadsheetml/2006/main" count="90">
  <r>
    <x v="0"/>
    <x v="0"/>
    <x v="11"/>
    <x v="3"/>
    <x v="12"/>
    <x v="13"/>
    <x v="20"/>
    <x v="0"/>
    <x v="0"/>
    <x v="0"/>
  </r>
  <r>
    <x v="1"/>
    <x v="0"/>
    <x v="11"/>
    <x v="0"/>
    <x v="15"/>
    <x v="8"/>
    <x v="13"/>
    <x v="0"/>
    <x v="0"/>
    <x v="0"/>
  </r>
  <r>
    <x v="2"/>
    <x v="0"/>
    <x v="11"/>
    <x v="3"/>
    <x v="34"/>
    <x v="13"/>
    <x v="20"/>
    <x v="0"/>
    <x v="1"/>
    <x v="0"/>
  </r>
  <r>
    <x v="3"/>
    <x v="0"/>
    <x v="11"/>
    <x v="0"/>
    <x v="37"/>
    <x v="8"/>
    <x v="13"/>
    <x v="0"/>
    <x v="1"/>
    <x v="0"/>
  </r>
  <r>
    <x v="4"/>
    <x v="0"/>
    <x v="11"/>
    <x v="3"/>
    <x v="56"/>
    <x v="13"/>
    <x v="23"/>
    <x v="1"/>
    <x v="2"/>
    <x v="11"/>
  </r>
  <r>
    <x v="5"/>
    <x v="0"/>
    <x v="11"/>
    <x v="0"/>
    <x v="59"/>
    <x v="8"/>
    <x v="13"/>
    <x v="0"/>
    <x v="2"/>
    <x v="0"/>
  </r>
  <r>
    <x v="6"/>
    <x v="1"/>
    <x v="13"/>
    <x v="3"/>
    <x v="7"/>
    <x v="17"/>
    <x v="27"/>
    <x v="0"/>
    <x v="0"/>
    <x v="0"/>
  </r>
  <r>
    <x v="7"/>
    <x v="1"/>
    <x v="13"/>
    <x v="2"/>
    <x v="9"/>
    <x v="15"/>
    <x v="24"/>
    <x v="0"/>
    <x v="0"/>
    <x v="0"/>
  </r>
  <r>
    <x v="8"/>
    <x v="1"/>
    <x v="13"/>
    <x v="4"/>
    <x v="11"/>
    <x v="9"/>
    <x v="15"/>
    <x v="0"/>
    <x v="0"/>
    <x v="0"/>
  </r>
  <r>
    <x v="9"/>
    <x v="1"/>
    <x v="13"/>
    <x v="3"/>
    <x v="29"/>
    <x v="17"/>
    <x v="27"/>
    <x v="0"/>
    <x v="1"/>
    <x v="0"/>
  </r>
  <r>
    <x v="10"/>
    <x v="1"/>
    <x v="13"/>
    <x v="2"/>
    <x v="31"/>
    <x v="15"/>
    <x v="24"/>
    <x v="0"/>
    <x v="1"/>
    <x v="0"/>
  </r>
  <r>
    <x v="11"/>
    <x v="1"/>
    <x v="13"/>
    <x v="4"/>
    <x v="33"/>
    <x v="9"/>
    <x v="15"/>
    <x v="0"/>
    <x v="1"/>
    <x v="0"/>
  </r>
  <r>
    <x v="12"/>
    <x v="1"/>
    <x v="13"/>
    <x v="3"/>
    <x v="51"/>
    <x v="17"/>
    <x v="29"/>
    <x v="8"/>
    <x v="2"/>
    <x v="13"/>
  </r>
  <r>
    <x v="13"/>
    <x v="1"/>
    <x v="13"/>
    <x v="2"/>
    <x v="53"/>
    <x v="15"/>
    <x v="25"/>
    <x v="7"/>
    <x v="2"/>
    <x v="7"/>
  </r>
  <r>
    <x v="14"/>
    <x v="1"/>
    <x v="13"/>
    <x v="4"/>
    <x v="55"/>
    <x v="9"/>
    <x v="15"/>
    <x v="0"/>
    <x v="2"/>
    <x v="0"/>
  </r>
  <r>
    <x v="15"/>
    <x v="2"/>
    <x v="1"/>
    <x v="0"/>
    <x v="2"/>
    <x v="11"/>
    <x v="18"/>
    <x v="0"/>
    <x v="0"/>
    <x v="0"/>
  </r>
  <r>
    <x v="16"/>
    <x v="2"/>
    <x v="1"/>
    <x v="1"/>
    <x v="5"/>
    <x v="5"/>
    <x v="6"/>
    <x v="0"/>
    <x v="0"/>
    <x v="0"/>
  </r>
  <r>
    <x v="17"/>
    <x v="2"/>
    <x v="1"/>
    <x v="0"/>
    <x v="24"/>
    <x v="11"/>
    <x v="18"/>
    <x v="0"/>
    <x v="1"/>
    <x v="0"/>
  </r>
  <r>
    <x v="18"/>
    <x v="2"/>
    <x v="1"/>
    <x v="1"/>
    <x v="27"/>
    <x v="5"/>
    <x v="6"/>
    <x v="0"/>
    <x v="1"/>
    <x v="0"/>
  </r>
  <r>
    <x v="19"/>
    <x v="2"/>
    <x v="1"/>
    <x v="0"/>
    <x v="46"/>
    <x v="11"/>
    <x v="18"/>
    <x v="0"/>
    <x v="2"/>
    <x v="0"/>
  </r>
  <r>
    <x v="20"/>
    <x v="2"/>
    <x v="1"/>
    <x v="1"/>
    <x v="49"/>
    <x v="5"/>
    <x v="11"/>
    <x v="5"/>
    <x v="2"/>
    <x v="4"/>
  </r>
  <r>
    <x v="21"/>
    <x v="3"/>
    <x v="7"/>
    <x v="3"/>
    <x v="17"/>
    <x v="16"/>
    <x v="26"/>
    <x v="0"/>
    <x v="0"/>
    <x v="0"/>
  </r>
  <r>
    <x v="22"/>
    <x v="3"/>
    <x v="7"/>
    <x v="4"/>
    <x v="19"/>
    <x v="12"/>
    <x v="19"/>
    <x v="0"/>
    <x v="0"/>
    <x v="0"/>
  </r>
  <r>
    <x v="23"/>
    <x v="3"/>
    <x v="7"/>
    <x v="3"/>
    <x v="39"/>
    <x v="16"/>
    <x v="26"/>
    <x v="0"/>
    <x v="1"/>
    <x v="0"/>
  </r>
  <r>
    <x v="24"/>
    <x v="3"/>
    <x v="7"/>
    <x v="4"/>
    <x v="41"/>
    <x v="12"/>
    <x v="19"/>
    <x v="0"/>
    <x v="1"/>
    <x v="0"/>
  </r>
  <r>
    <x v="25"/>
    <x v="3"/>
    <x v="7"/>
    <x v="3"/>
    <x v="61"/>
    <x v="16"/>
    <x v="28"/>
    <x v="3"/>
    <x v="2"/>
    <x v="12"/>
  </r>
  <r>
    <x v="26"/>
    <x v="3"/>
    <x v="7"/>
    <x v="4"/>
    <x v="63"/>
    <x v="12"/>
    <x v="21"/>
    <x v="2"/>
    <x v="2"/>
    <x v="8"/>
  </r>
  <r>
    <x v="27"/>
    <x v="4"/>
    <x v="5"/>
    <x v="0"/>
    <x v="8"/>
    <x v="9"/>
    <x v="15"/>
    <x v="0"/>
    <x v="0"/>
    <x v="0"/>
  </r>
  <r>
    <x v="28"/>
    <x v="4"/>
    <x v="5"/>
    <x v="2"/>
    <x v="10"/>
    <x v="7"/>
    <x v="10"/>
    <x v="0"/>
    <x v="0"/>
    <x v="0"/>
  </r>
  <r>
    <x v="29"/>
    <x v="4"/>
    <x v="5"/>
    <x v="0"/>
    <x v="30"/>
    <x v="9"/>
    <x v="15"/>
    <x v="0"/>
    <x v="1"/>
    <x v="0"/>
  </r>
  <r>
    <x v="30"/>
    <x v="4"/>
    <x v="5"/>
    <x v="2"/>
    <x v="32"/>
    <x v="7"/>
    <x v="10"/>
    <x v="0"/>
    <x v="1"/>
    <x v="0"/>
  </r>
  <r>
    <x v="31"/>
    <x v="4"/>
    <x v="5"/>
    <x v="0"/>
    <x v="52"/>
    <x v="9"/>
    <x v="15"/>
    <x v="0"/>
    <x v="2"/>
    <x v="0"/>
  </r>
  <r>
    <x v="32"/>
    <x v="4"/>
    <x v="5"/>
    <x v="2"/>
    <x v="54"/>
    <x v="7"/>
    <x v="10"/>
    <x v="0"/>
    <x v="2"/>
    <x v="0"/>
  </r>
  <r>
    <x v="33"/>
    <x v="5"/>
    <x v="14"/>
    <x v="3"/>
    <x v="4"/>
    <x v="14"/>
    <x v="22"/>
    <x v="0"/>
    <x v="0"/>
    <x v="0"/>
  </r>
  <r>
    <x v="34"/>
    <x v="5"/>
    <x v="14"/>
    <x v="1"/>
    <x v="6"/>
    <x v="3"/>
    <x v="4"/>
    <x v="0"/>
    <x v="0"/>
    <x v="0"/>
  </r>
  <r>
    <x v="35"/>
    <x v="5"/>
    <x v="14"/>
    <x v="3"/>
    <x v="26"/>
    <x v="14"/>
    <x v="22"/>
    <x v="0"/>
    <x v="1"/>
    <x v="0"/>
  </r>
  <r>
    <x v="36"/>
    <x v="5"/>
    <x v="14"/>
    <x v="1"/>
    <x v="28"/>
    <x v="3"/>
    <x v="4"/>
    <x v="0"/>
    <x v="1"/>
    <x v="0"/>
  </r>
  <r>
    <x v="37"/>
    <x v="5"/>
    <x v="14"/>
    <x v="3"/>
    <x v="48"/>
    <x v="14"/>
    <x v="22"/>
    <x v="0"/>
    <x v="2"/>
    <x v="0"/>
  </r>
  <r>
    <x v="38"/>
    <x v="5"/>
    <x v="14"/>
    <x v="1"/>
    <x v="50"/>
    <x v="3"/>
    <x v="4"/>
    <x v="0"/>
    <x v="2"/>
    <x v="0"/>
  </r>
  <r>
    <x v="39"/>
    <x v="6"/>
    <x v="9"/>
    <x v="0"/>
    <x v="13"/>
    <x v="18"/>
    <x v="30"/>
    <x v="0"/>
    <x v="0"/>
    <x v="0"/>
  </r>
  <r>
    <x v="40"/>
    <x v="6"/>
    <x v="9"/>
    <x v="3"/>
    <x v="14"/>
    <x v="16"/>
    <x v="26"/>
    <x v="0"/>
    <x v="0"/>
    <x v="0"/>
  </r>
  <r>
    <x v="41"/>
    <x v="6"/>
    <x v="9"/>
    <x v="4"/>
    <x v="16"/>
    <x v="13"/>
    <x v="20"/>
    <x v="0"/>
    <x v="0"/>
    <x v="0"/>
  </r>
  <r>
    <x v="42"/>
    <x v="6"/>
    <x v="9"/>
    <x v="0"/>
    <x v="35"/>
    <x v="18"/>
    <x v="30"/>
    <x v="0"/>
    <x v="1"/>
    <x v="0"/>
  </r>
  <r>
    <x v="43"/>
    <x v="6"/>
    <x v="9"/>
    <x v="3"/>
    <x v="36"/>
    <x v="16"/>
    <x v="26"/>
    <x v="0"/>
    <x v="1"/>
    <x v="0"/>
  </r>
  <r>
    <x v="44"/>
    <x v="6"/>
    <x v="9"/>
    <x v="4"/>
    <x v="38"/>
    <x v="13"/>
    <x v="20"/>
    <x v="0"/>
    <x v="1"/>
    <x v="0"/>
  </r>
  <r>
    <x v="45"/>
    <x v="6"/>
    <x v="9"/>
    <x v="0"/>
    <x v="57"/>
    <x v="18"/>
    <x v="30"/>
    <x v="0"/>
    <x v="2"/>
    <x v="0"/>
  </r>
  <r>
    <x v="46"/>
    <x v="6"/>
    <x v="9"/>
    <x v="3"/>
    <x v="58"/>
    <x v="16"/>
    <x v="26"/>
    <x v="0"/>
    <x v="2"/>
    <x v="0"/>
  </r>
  <r>
    <x v="47"/>
    <x v="6"/>
    <x v="9"/>
    <x v="4"/>
    <x v="60"/>
    <x v="13"/>
    <x v="20"/>
    <x v="0"/>
    <x v="2"/>
    <x v="0"/>
  </r>
  <r>
    <x v="48"/>
    <x v="7"/>
    <x v="6"/>
    <x v="3"/>
    <x v="1"/>
    <x v="10"/>
    <x v="16"/>
    <x v="0"/>
    <x v="0"/>
    <x v="0"/>
  </r>
  <r>
    <x v="49"/>
    <x v="7"/>
    <x v="6"/>
    <x v="0"/>
    <x v="3"/>
    <x v="6"/>
    <x v="8"/>
    <x v="0"/>
    <x v="0"/>
    <x v="0"/>
  </r>
  <r>
    <x v="50"/>
    <x v="7"/>
    <x v="6"/>
    <x v="3"/>
    <x v="23"/>
    <x v="10"/>
    <x v="16"/>
    <x v="0"/>
    <x v="1"/>
    <x v="0"/>
  </r>
  <r>
    <x v="51"/>
    <x v="7"/>
    <x v="6"/>
    <x v="0"/>
    <x v="25"/>
    <x v="6"/>
    <x v="8"/>
    <x v="0"/>
    <x v="1"/>
    <x v="0"/>
  </r>
  <r>
    <x v="52"/>
    <x v="7"/>
    <x v="6"/>
    <x v="3"/>
    <x v="45"/>
    <x v="10"/>
    <x v="16"/>
    <x v="0"/>
    <x v="2"/>
    <x v="0"/>
  </r>
  <r>
    <x v="53"/>
    <x v="7"/>
    <x v="6"/>
    <x v="0"/>
    <x v="47"/>
    <x v="6"/>
    <x v="8"/>
    <x v="0"/>
    <x v="2"/>
    <x v="0"/>
  </r>
  <r>
    <x v="54"/>
    <x v="8"/>
    <x v="3"/>
    <x v="3"/>
    <x v="18"/>
    <x v="7"/>
    <x v="10"/>
    <x v="0"/>
    <x v="0"/>
    <x v="0"/>
  </r>
  <r>
    <x v="55"/>
    <x v="8"/>
    <x v="3"/>
    <x v="3"/>
    <x v="40"/>
    <x v="7"/>
    <x v="10"/>
    <x v="0"/>
    <x v="1"/>
    <x v="0"/>
  </r>
  <r>
    <x v="56"/>
    <x v="8"/>
    <x v="3"/>
    <x v="3"/>
    <x v="62"/>
    <x v="7"/>
    <x v="10"/>
    <x v="0"/>
    <x v="2"/>
    <x v="0"/>
  </r>
  <r>
    <x v="57"/>
    <x v="9"/>
    <x v="8"/>
    <x v="0"/>
    <x v="20"/>
    <x v="3"/>
    <x v="4"/>
    <x v="0"/>
    <x v="0"/>
    <x v="0"/>
  </r>
  <r>
    <x v="58"/>
    <x v="9"/>
    <x v="8"/>
    <x v="0"/>
    <x v="42"/>
    <x v="3"/>
    <x v="4"/>
    <x v="0"/>
    <x v="1"/>
    <x v="0"/>
  </r>
  <r>
    <x v="59"/>
    <x v="9"/>
    <x v="8"/>
    <x v="0"/>
    <x v="64"/>
    <x v="3"/>
    <x v="4"/>
    <x v="0"/>
    <x v="2"/>
    <x v="0"/>
  </r>
  <r>
    <x v="60"/>
    <x v="10"/>
    <x v="15"/>
    <x v="1"/>
    <x v="0"/>
    <x v="1"/>
    <x v="1"/>
    <x v="0"/>
    <x v="0"/>
    <x v="0"/>
  </r>
  <r>
    <x v="61"/>
    <x v="10"/>
    <x v="15"/>
    <x v="1"/>
    <x v="22"/>
    <x v="1"/>
    <x v="1"/>
    <x v="0"/>
    <x v="1"/>
    <x v="0"/>
  </r>
  <r>
    <x v="62"/>
    <x v="10"/>
    <x v="15"/>
    <x v="1"/>
    <x v="44"/>
    <x v="1"/>
    <x v="1"/>
    <x v="0"/>
    <x v="2"/>
    <x v="0"/>
  </r>
  <r>
    <x v="63"/>
    <x v="11"/>
    <x v="10"/>
    <x v="2"/>
    <x v="21"/>
    <x v="0"/>
    <x v="0"/>
    <x v="0"/>
    <x v="0"/>
    <x v="0"/>
  </r>
  <r>
    <x v="64"/>
    <x v="11"/>
    <x v="10"/>
    <x v="2"/>
    <x v="43"/>
    <x v="0"/>
    <x v="0"/>
    <x v="0"/>
    <x v="1"/>
    <x v="0"/>
  </r>
  <r>
    <x v="65"/>
    <x v="11"/>
    <x v="10"/>
    <x v="2"/>
    <x v="65"/>
    <x v="0"/>
    <x v="0"/>
    <x v="0"/>
    <x v="2"/>
    <x v="0"/>
  </r>
  <r>
    <x v="66"/>
    <x v="12"/>
    <x v="2"/>
    <x v="3"/>
    <x v="3"/>
    <x v="8"/>
    <x v="13"/>
    <x v="0"/>
    <x v="0"/>
    <x v="0"/>
  </r>
  <r>
    <x v="67"/>
    <x v="12"/>
    <x v="2"/>
    <x v="0"/>
    <x v="5"/>
    <x v="5"/>
    <x v="6"/>
    <x v="0"/>
    <x v="0"/>
    <x v="0"/>
  </r>
  <r>
    <x v="68"/>
    <x v="12"/>
    <x v="2"/>
    <x v="3"/>
    <x v="25"/>
    <x v="8"/>
    <x v="13"/>
    <x v="0"/>
    <x v="1"/>
    <x v="0"/>
  </r>
  <r>
    <x v="69"/>
    <x v="12"/>
    <x v="2"/>
    <x v="0"/>
    <x v="27"/>
    <x v="5"/>
    <x v="6"/>
    <x v="0"/>
    <x v="1"/>
    <x v="0"/>
  </r>
  <r>
    <x v="70"/>
    <x v="12"/>
    <x v="2"/>
    <x v="3"/>
    <x v="47"/>
    <x v="8"/>
    <x v="17"/>
    <x v="7"/>
    <x v="2"/>
    <x v="10"/>
  </r>
  <r>
    <x v="71"/>
    <x v="12"/>
    <x v="2"/>
    <x v="0"/>
    <x v="49"/>
    <x v="5"/>
    <x v="12"/>
    <x v="6"/>
    <x v="2"/>
    <x v="5"/>
  </r>
  <r>
    <x v="72"/>
    <x v="13"/>
    <x v="0"/>
    <x v="2"/>
    <x v="11"/>
    <x v="5"/>
    <x v="6"/>
    <x v="0"/>
    <x v="0"/>
    <x v="0"/>
  </r>
  <r>
    <x v="73"/>
    <x v="13"/>
    <x v="0"/>
    <x v="1"/>
    <x v="13"/>
    <x v="2"/>
    <x v="2"/>
    <x v="0"/>
    <x v="0"/>
    <x v="0"/>
  </r>
  <r>
    <x v="74"/>
    <x v="13"/>
    <x v="0"/>
    <x v="2"/>
    <x v="33"/>
    <x v="5"/>
    <x v="6"/>
    <x v="0"/>
    <x v="1"/>
    <x v="0"/>
  </r>
  <r>
    <x v="75"/>
    <x v="13"/>
    <x v="0"/>
    <x v="1"/>
    <x v="35"/>
    <x v="2"/>
    <x v="2"/>
    <x v="0"/>
    <x v="1"/>
    <x v="0"/>
  </r>
  <r>
    <x v="76"/>
    <x v="13"/>
    <x v="0"/>
    <x v="2"/>
    <x v="55"/>
    <x v="5"/>
    <x v="12"/>
    <x v="5"/>
    <x v="2"/>
    <x v="5"/>
  </r>
  <r>
    <x v="77"/>
    <x v="13"/>
    <x v="0"/>
    <x v="1"/>
    <x v="57"/>
    <x v="2"/>
    <x v="5"/>
    <x v="4"/>
    <x v="2"/>
    <x v="2"/>
  </r>
  <r>
    <x v="78"/>
    <x v="14"/>
    <x v="12"/>
    <x v="3"/>
    <x v="6"/>
    <x v="7"/>
    <x v="10"/>
    <x v="0"/>
    <x v="0"/>
    <x v="0"/>
  </r>
  <r>
    <x v="79"/>
    <x v="14"/>
    <x v="12"/>
    <x v="4"/>
    <x v="8"/>
    <x v="3"/>
    <x v="4"/>
    <x v="0"/>
    <x v="0"/>
    <x v="0"/>
  </r>
  <r>
    <x v="80"/>
    <x v="14"/>
    <x v="12"/>
    <x v="3"/>
    <x v="28"/>
    <x v="7"/>
    <x v="10"/>
    <x v="0"/>
    <x v="1"/>
    <x v="0"/>
  </r>
  <r>
    <x v="81"/>
    <x v="14"/>
    <x v="12"/>
    <x v="4"/>
    <x v="30"/>
    <x v="3"/>
    <x v="4"/>
    <x v="0"/>
    <x v="1"/>
    <x v="0"/>
  </r>
  <r>
    <x v="82"/>
    <x v="14"/>
    <x v="12"/>
    <x v="3"/>
    <x v="50"/>
    <x v="7"/>
    <x v="14"/>
    <x v="8"/>
    <x v="2"/>
    <x v="9"/>
  </r>
  <r>
    <x v="83"/>
    <x v="14"/>
    <x v="12"/>
    <x v="4"/>
    <x v="52"/>
    <x v="3"/>
    <x v="7"/>
    <x v="7"/>
    <x v="2"/>
    <x v="3"/>
  </r>
  <r>
    <x v="84"/>
    <x v="15"/>
    <x v="4"/>
    <x v="0"/>
    <x v="10"/>
    <x v="4"/>
    <x v="5"/>
    <x v="0"/>
    <x v="0"/>
    <x v="0"/>
  </r>
  <r>
    <x v="85"/>
    <x v="15"/>
    <x v="4"/>
    <x v="1"/>
    <x v="12"/>
    <x v="1"/>
    <x v="1"/>
    <x v="0"/>
    <x v="0"/>
    <x v="0"/>
  </r>
  <r>
    <x v="86"/>
    <x v="15"/>
    <x v="4"/>
    <x v="0"/>
    <x v="32"/>
    <x v="4"/>
    <x v="5"/>
    <x v="0"/>
    <x v="1"/>
    <x v="0"/>
  </r>
  <r>
    <x v="87"/>
    <x v="15"/>
    <x v="4"/>
    <x v="1"/>
    <x v="34"/>
    <x v="1"/>
    <x v="1"/>
    <x v="0"/>
    <x v="1"/>
    <x v="0"/>
  </r>
  <r>
    <x v="88"/>
    <x v="15"/>
    <x v="4"/>
    <x v="0"/>
    <x v="54"/>
    <x v="4"/>
    <x v="9"/>
    <x v="3"/>
    <x v="2"/>
    <x v="6"/>
  </r>
  <r>
    <x v="89"/>
    <x v="15"/>
    <x v="4"/>
    <x v="1"/>
    <x v="56"/>
    <x v="1"/>
    <x v="3"/>
    <x v="2"/>
    <x v="2"/>
    <x v="1"/>
  </r>
</pivotCacheRecords>
</file>

<file path=xl/pivotCache/pivotCacheRecords2.xml><?xml version="1.0" encoding="utf-8"?>
<pivotCacheRecords xmlns="http://schemas.openxmlformats.org/spreadsheetml/2006/main" count="20">
  <r>
    <x v="0"/>
    <x v="14"/>
    <x v="12"/>
    <x v="7"/>
    <x v="0"/>
    <x v="0"/>
    <x v="2"/>
  </r>
  <r>
    <x v="1"/>
    <x v="16"/>
    <x v="9"/>
    <x v="4"/>
    <x v="2"/>
    <x v="0"/>
    <x v="2"/>
  </r>
  <r>
    <x v="2"/>
    <x v="1"/>
    <x v="6"/>
    <x v="6"/>
    <x v="1"/>
    <x v="0"/>
    <x v="2"/>
  </r>
  <r>
    <x v="3"/>
    <x v="8"/>
    <x v="15"/>
    <x v="5"/>
    <x v="3"/>
    <x v="0"/>
    <x v="2"/>
  </r>
  <r>
    <x v="4"/>
    <x v="6"/>
    <x v="17"/>
    <x v="8"/>
    <x v="8"/>
    <x v="2"/>
    <x v="3"/>
  </r>
  <r>
    <x v="5"/>
    <x v="17"/>
    <x v="10"/>
    <x v="8"/>
    <x v="8"/>
    <x v="2"/>
    <x v="3"/>
  </r>
  <r>
    <x v="6"/>
    <x v="10"/>
    <x v="19"/>
    <x v="8"/>
    <x v="8"/>
    <x v="2"/>
    <x v="3"/>
  </r>
  <r>
    <x v="7"/>
    <x v="7"/>
    <x v="7"/>
    <x v="8"/>
    <x v="8"/>
    <x v="2"/>
    <x v="3"/>
  </r>
  <r>
    <x v="8"/>
    <x v="3"/>
    <x v="5"/>
    <x v="8"/>
    <x v="8"/>
    <x v="2"/>
    <x v="1"/>
  </r>
  <r>
    <x v="9"/>
    <x v="9"/>
    <x v="13"/>
    <x v="8"/>
    <x v="8"/>
    <x v="2"/>
    <x v="1"/>
  </r>
  <r>
    <x v="10"/>
    <x v="19"/>
    <x v="8"/>
    <x v="8"/>
    <x v="8"/>
    <x v="2"/>
    <x v="1"/>
  </r>
  <r>
    <x v="11"/>
    <x v="12"/>
    <x v="4"/>
    <x v="8"/>
    <x v="8"/>
    <x v="2"/>
    <x v="1"/>
  </r>
  <r>
    <x v="12"/>
    <x v="2"/>
    <x v="0"/>
    <x v="2"/>
    <x v="6"/>
    <x v="1"/>
    <x v="2"/>
  </r>
  <r>
    <x v="13"/>
    <x v="0"/>
    <x v="2"/>
    <x v="1"/>
    <x v="5"/>
    <x v="1"/>
    <x v="2"/>
  </r>
  <r>
    <x v="14"/>
    <x v="15"/>
    <x v="1"/>
    <x v="3"/>
    <x v="4"/>
    <x v="1"/>
    <x v="2"/>
  </r>
  <r>
    <x v="15"/>
    <x v="5"/>
    <x v="3"/>
    <x v="0"/>
    <x v="7"/>
    <x v="1"/>
    <x v="2"/>
  </r>
  <r>
    <x v="16"/>
    <x v="4"/>
    <x v="16"/>
    <x v="8"/>
    <x v="8"/>
    <x v="2"/>
    <x v="0"/>
  </r>
  <r>
    <x v="17"/>
    <x v="11"/>
    <x v="14"/>
    <x v="8"/>
    <x v="8"/>
    <x v="2"/>
    <x v="0"/>
  </r>
  <r>
    <x v="18"/>
    <x v="13"/>
    <x v="18"/>
    <x v="8"/>
    <x v="8"/>
    <x v="2"/>
    <x v="0"/>
  </r>
  <r>
    <x v="19"/>
    <x v="18"/>
    <x v="11"/>
    <x v="8"/>
    <x v="8"/>
    <x v="2"/>
    <x v="0"/>
  </r>
</pivotCacheRecords>
</file>

<file path=xl/pivotCache/pivotCacheRecords3.xml><?xml version="1.0" encoding="utf-8"?>
<pivotCacheRecords xmlns="http://schemas.openxmlformats.org/spreadsheetml/2006/main" count="4">
  <r>
    <x v="0"/>
    <x v="2"/>
    <x v="1"/>
    <x v="1"/>
    <x v="1"/>
    <x v="1"/>
    <x v="0"/>
  </r>
  <r>
    <x v="1"/>
    <x v="3"/>
    <x v="2"/>
    <x v="3"/>
    <x v="1"/>
    <x v="3"/>
    <x v="0"/>
  </r>
  <r>
    <x v="2"/>
    <x v="0"/>
    <x v="0"/>
    <x v="0"/>
    <x v="0"/>
    <x v="0"/>
    <x v="1"/>
  </r>
  <r>
    <x v="3"/>
    <x v="1"/>
    <x v="3"/>
    <x v="2"/>
    <x v="1"/>
    <x v="2"/>
    <x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Relationships>
</file>

<file path=xl/pivotTables/_rels/pivotTable3.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4.xml.rels><Relationships xmlns="http://schemas.openxmlformats.org/package/2006/relationships"><Relationship Type="http://schemas.openxmlformats.org/officeDocument/2006/relationships/pivotCacheDefinition" Target="/xl/pivotCache/pivotCacheDefinition3.xml" Id="rId1"/></Relationships>
</file>

<file path=xl/pivotTables/pivotTable1.xml><?xml version="1.0" encoding="utf-8"?>
<pivotTableDefinition xmlns:r="http://schemas.openxmlformats.org/officeDocument/2006/relationships" xmlns="http://schemas.openxmlformats.org/spreadsheetml/2006/main" name="PivotTable1" cacheId="3" dataOnRows="0" dataCaption="Values" showError="0" showMissing="1" updatedVersion="8"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0"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0" r:id="rId1">
  <location ref="A3:I11" firstHeaderRow="1" firstDataRow="3" firstDataCol="1"/>
  <pivotFields count="1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6">
        <item t="data" sd="1" x="0"/>
        <item t="data" sd="1" x="1"/>
        <item t="data" sd="1" x="2"/>
        <item t="data" sd="1" x="3"/>
        <item t="data" sd="1" x="4"/>
        <item t="default" sd="1"/>
      </items>
    </pivotField>
    <pivotField showDropDowns="1" compact="1" outline="1" subtotalTop="1" dragToRow="1" dragToCol="1" dragToPage="1" dragToData="1" dragOff="1" showAll="0" topAutoShow="1" itemPageCount="10" sortType="manual" defaultSubtotal="1">
      <items count="67">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efault" sd="1"/>
      </items>
    </pivotField>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ncludeNewItemsInFilter="1" itemPageCount="10" sortType="manual" defaultSubtotal="1">
      <items count="15">
        <item t="data" sd="1" x="0"/>
        <item t="data" sd="1" x="1"/>
        <item t="data" sd="1" x="2"/>
        <item t="data" sd="1" x="3"/>
        <item t="data" sd="1" x="4"/>
        <item t="data" sd="1" x="5"/>
        <item t="data" sd="1" x="6"/>
        <item t="data" sd="1" x="7"/>
        <item t="data" sd="1" x="8"/>
        <item t="data" sd="1" x="9"/>
        <item t="data" sd="1" x="10"/>
        <item t="data" sd="1" x="11"/>
        <item t="data" sd="1" x="12"/>
        <item t="data" sd="1" x="13"/>
        <item t="default" sd="1"/>
      </items>
    </pivotField>
  </pivotFields>
  <rowFields count="1">
    <field x="3"/>
  </rowFields>
  <rowItems count="6">
    <i t="data" r="0" i="0">
      <x v="0"/>
    </i>
    <i t="data" r="0" i="0">
      <x v="1"/>
    </i>
    <i t="data" r="0" i="0">
      <x v="2"/>
    </i>
    <i t="data" r="0" i="0">
      <x v="3"/>
    </i>
    <i t="data" r="0" i="0">
      <x v="4"/>
    </i>
    <i t="grand" r="0" i="0">
      <x v="0"/>
    </i>
  </rowItems>
  <colFields count="2">
    <field x="-2"/>
    <field x="10"/>
  </colFields>
  <colItems count="8">
    <i t="data" r="0" i="0">
      <x v="0"/>
      <x v="3"/>
    </i>
    <i t="data" r="1" i="0">
      <x v="4"/>
    </i>
    <i t="data" r="1" i="0">
      <x v="5"/>
    </i>
    <i t="data" r="0" i="1">
      <x v="1"/>
      <x v="3"/>
    </i>
    <i t="data" r="1" i="1">
      <x v="4"/>
    </i>
    <i t="data" r="1" i="1">
      <x v="5"/>
    </i>
    <i t="grand" r="0" i="0">
      <x v="0"/>
    </i>
    <i t="grand" r="0" i="1">
      <x v="0"/>
    </i>
  </colItems>
  <dataFields count="2">
    <dataField name="Sum of ExpectedAmount" fld="5" subtotal="sum" showDataAs="normal" baseField="0" baseItem="0"/>
    <dataField name="Sum of ActualPaidAmount" fld="6" subtotal="sum" showDataAs="normal" baseField="0" baseItem="0"/>
  </data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2" cacheId="1" dataOnRows="0" dataCaption="Values"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0"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0" r:id="rId1">
  <location ref="A3:B8" firstHeaderRow="1" firstDataRow="1" firstDataCol="1"/>
  <pivotFields count="7">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5">
        <item t="data" sd="1" x="0"/>
        <item t="data" sd="1" x="1"/>
        <item t="data" sd="1" x="2"/>
        <item t="data" sd="1" x="3"/>
        <item t="default" sd="1"/>
      </items>
    </pivotField>
  </pivotFields>
  <rowFields count="1">
    <field x="6"/>
  </rowFields>
  <dataFields count="1">
    <dataField name="Count of CustomerID" fld="0" subtotal="count" showDataAs="normal" baseField="0" baseItem="0"/>
  </dataField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PivotTable3" cacheId="3" dataOnRows="0" dataCaption="Values" showError="0" showMissing="1" updatedVersion="8"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0"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0" r:id="rId1">
  <location ref="A3:B9" firstHeaderRow="1" firstDataRow="1" firstDataCol="1"/>
  <pivotFields count="1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6">
        <item t="data" sd="1" x="0"/>
        <item t="data" sd="1" x="1"/>
        <item t="data" sd="1" x="2"/>
        <item t="data" sd="1" x="3"/>
        <item t="data" sd="1" x="4"/>
        <item t="default" sd="1"/>
      </items>
    </pivotField>
    <pivotField showDropDowns="1" compact="1" outline="1" subtotalTop="1" dragToRow="1" dragToCol="1" dragToPage="1" dragToData="1" dragOff="1" showAll="0" topAutoShow="1" itemPageCount="10" sortType="manual" defaultSubtotal="1">
      <items count="67">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ncludeNewItemsInFilter="1" itemPageCount="10" sortType="manual" defaultSubtotal="1">
      <items count="15">
        <item t="data" sd="1" x="0"/>
        <item t="data" sd="1" x="1"/>
        <item t="data" sd="1" x="2"/>
        <item t="data" sd="1" x="3"/>
        <item t="data" sd="1" x="4"/>
        <item t="data" sd="1" x="5"/>
        <item t="data" sd="1" x="6"/>
        <item t="data" sd="1" x="7"/>
        <item t="data" sd="1" x="8"/>
        <item t="data" sd="1" x="9"/>
        <item t="data" sd="1" x="10"/>
        <item t="data" sd="1" x="11"/>
        <item t="data" sd="1" x="12"/>
        <item t="data" sd="1" x="13"/>
        <item t="default" sd="1"/>
      </items>
    </pivotField>
  </pivotFields>
  <rowFields count="1">
    <field x="3"/>
  </rowFields>
  <rowItems count="6">
    <i t="data" r="0" i="0">
      <x v="0"/>
    </i>
    <i t="data" r="0" i="0">
      <x v="1"/>
    </i>
    <i t="data" r="0" i="0">
      <x v="2"/>
    </i>
    <i t="data" r="0" i="0">
      <x v="3"/>
    </i>
    <i t="data" r="0" i="0">
      <x v="4"/>
    </i>
    <i t="grand" r="0" i="0">
      <x v="0"/>
    </i>
  </rowItems>
  <colItems count="1">
    <i t="data" r="0" i="0"/>
  </colItems>
  <dataFields count="1">
    <dataField name="Sum of ExtraCharged" fld="9" subtotal="sum" showDataAs="normal" baseField="0" baseItem="0"/>
  </dataField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PivotTable4" cacheId="2" dataOnRows="0" dataCaption="Values"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0"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0" r:id="rId1">
  <location ref="A3:B6" firstHeaderRow="1" firstDataRow="1" firstDataCol="1"/>
  <pivotFields count="7">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
        <item t="data" sd="1" x="0"/>
        <item t="data" sd="1" x="1"/>
        <item t="default" sd="1"/>
      </items>
    </pivotField>
  </pivotFields>
  <rowFields count="1">
    <field x="6"/>
  </rowFields>
  <dataFields count="1">
    <dataField name="Average of OfferedRatePct" fld="4" subtotal="average"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RawTransactions" displayName="RawTransactions" ref="A1:J91" headerRowCount="1" totalsRowShown="0">
  <autoFilter ref="A1:J91"/>
  <tableColumns count="10">
    <tableColumn id="1" name="ObligationID"/>
    <tableColumn id="2" name="CustomerID"/>
    <tableColumn id="3" name="CustomerName"/>
    <tableColumn id="4" name="Provider"/>
    <tableColumn id="5" name="DueDate"/>
    <tableColumn id="6" name="ExpectedAmount"/>
    <tableColumn id="7" name="ActualPaidAmount"/>
    <tableColumn id="8" name="DaysLate"/>
    <tableColumn id="9" name="Cycle"/>
    <tableColumn id="10" name="ExtraCharged"/>
  </tableColumns>
  <tableStyleInfo showFirstColumn="0" showLastColumn="0" showRowStripes="1" showColumnStripes="0"/>
</table>
</file>

<file path=xl/tables/table2.xml><?xml version="1.0" encoding="utf-8"?>
<table xmlns="http://schemas.openxmlformats.org/spreadsheetml/2006/main" id="2" name="RawCustomers" displayName="RawCustomers" ref="A1:G21" headerRowCount="1" totalsRowShown="0">
  <autoFilter ref="A1:G21"/>
  <tableColumns count="7">
    <tableColumn id="1" name="CustomerID"/>
    <tableColumn id="2" name="FullName"/>
    <tableColumn id="3" name="MonthlyIncome"/>
    <tableColumn id="4" name="CreditScore"/>
    <tableColumn id="5" name="DSR_Pct"/>
    <tableColumn id="6" name="EligibilityOutcome"/>
    <tableColumn id="7" name="Segment"/>
  </tableColumns>
  <tableStyleInfo showFirstColumn="0" showLastColumn="0" showRowStripes="1" showColumnStripes="0"/>
</table>
</file>

<file path=xl/tables/table3.xml><?xml version="1.0" encoding="utf-8"?>
<table xmlns="http://schemas.openxmlformats.org/spreadsheetml/2006/main" id="3" name="RawOffers" displayName="RawOffers" ref="A1:G5" headerRowCount="1" totalsRowShown="0">
  <autoFilter ref="A1:G5"/>
  <tableColumns count="7">
    <tableColumn id="1" name="CustomerID"/>
    <tableColumn id="2" name="FullName"/>
    <tableColumn id="3" name="OfferDate"/>
    <tableColumn id="4" name="TotalAmount"/>
    <tableColumn id="5" name="OfferedRatePct"/>
    <tableColumn id="6" name="MonthlyPayment"/>
    <tableColumn id="7" name="Statu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pivotTable" Target="/xl/pivotTables/pivotTable1.xml" Id="rId1"/></Relationships>
</file>

<file path=xl/worksheets/_rels/sheet4.xml.rels><Relationships xmlns="http://schemas.openxmlformats.org/package/2006/relationships"><Relationship Type="http://schemas.openxmlformats.org/officeDocument/2006/relationships/pivotTable" Target="/xl/pivotTables/pivotTable2.xml" Id="rId1"/></Relationships>
</file>

<file path=xl/worksheets/_rels/sheet5.xml.rels><Relationships xmlns="http://schemas.openxmlformats.org/package/2006/relationships"><Relationship Type="http://schemas.openxmlformats.org/officeDocument/2006/relationships/pivotTable" Target="/xl/pivotTables/pivotTable3.xml" Id="rId1"/></Relationships>
</file>

<file path=xl/worksheets/_rels/sheet6.xml.rels><Relationships xmlns="http://schemas.openxmlformats.org/package/2006/relationships"><Relationship Type="http://schemas.openxmlformats.org/officeDocument/2006/relationships/pivotTable" Target="/xl/pivotTables/pivotTable4.xml" Id="rId1"/></Relationships>
</file>

<file path=xl/worksheets/_rels/sheet7.xml.rels><Relationships xmlns="http://schemas.openxmlformats.org/package/2006/relationships"><Relationship Type="http://schemas.openxmlformats.org/officeDocument/2006/relationships/table" Target="/xl/tables/table1.xml" Id="rId1"/></Relationships>
</file>

<file path=xl/worksheets/_rels/sheet8.xml.rels><Relationships xmlns="http://schemas.openxmlformats.org/package/2006/relationships"><Relationship Type="http://schemas.openxmlformats.org/officeDocument/2006/relationships/table" Target="/xl/tables/table2.xml" Id="rId1"/></Relationships>
</file>

<file path=xl/worksheets/_rels/sheet9.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fitToPage="1"/>
  </sheetPr>
  <dimension ref="B2:C24"/>
  <sheetViews>
    <sheetView topLeftCell="A12" zoomScaleNormal="100" workbookViewId="0">
      <selection activeCell="B30" sqref="B30"/>
    </sheetView>
  </sheetViews>
  <sheetFormatPr baseColWidth="8" defaultColWidth="8.6640625" defaultRowHeight="14.4"/>
  <cols>
    <col width="3" customWidth="1" style="45" min="1" max="1"/>
    <col width="30" customWidth="1" style="45" min="2" max="2"/>
    <col width="62" customWidth="1" style="45" min="3" max="3"/>
  </cols>
  <sheetData>
    <row r="2" ht="23.25" customHeight="1" s="45">
      <c r="B2" s="7" t="inlineStr">
        <is>
          <t>BNPL Command Center — Analysis Workbook</t>
        </is>
      </c>
    </row>
    <row r="3" ht="39.75" customHeight="1" s="45">
      <c r="B3" s="38" t="inlineStr">
        <is>
          <t>This is your own portfolio deliverable, not a practice file. Every formula and PivotTable you build here is meant to go straight into your GitHub repo / case study as real evidence of your Excel skill.</t>
        </is>
      </c>
    </row>
    <row r="5" ht="17.25" customHeight="1" s="45">
      <c r="B5" s="40" t="inlineStr">
        <is>
          <t>How this works</t>
        </is>
      </c>
    </row>
    <row r="6" ht="39.75" customHeight="1" s="45">
      <c r="B6" s="39" t="inlineStr">
        <is>
          <t>Everything below is either reference material (already done for you) or a blank section for you to build. Your coach will walk you through each one, business question first, no formula handed over unless you ask.</t>
        </is>
      </c>
    </row>
    <row r="8">
      <c r="B8" s="8" t="inlineStr">
        <is>
          <t>Tab</t>
        </is>
      </c>
      <c r="C8" s="8" t="inlineStr">
        <is>
          <t>What it's for / Status</t>
        </is>
      </c>
    </row>
    <row r="9" ht="33.75" customHeight="1" s="45">
      <c r="B9" s="9" t="inlineStr">
        <is>
          <t>Data_Dictionary</t>
        </is>
      </c>
      <c r="C9" s="38" t="inlineStr">
        <is>
          <t>Column-by-column definitions for every raw table. Reference — already done for you.</t>
        </is>
      </c>
    </row>
    <row r="10" ht="33.75" customHeight="1" s="45">
      <c r="B10" s="9" t="inlineStr">
        <is>
          <t>Raw_Transactions / Raw_Customers / Raw_Offers</t>
        </is>
      </c>
      <c r="C10" s="38" t="inlineStr">
        <is>
          <t>Source data — identical to what your SQL, BRD, and FRD deliverables use. Reference — do not edit.</t>
        </is>
      </c>
    </row>
    <row r="11" ht="33.75" customHeight="1" s="45">
      <c r="B11" s="9" t="inlineStr">
        <is>
          <t>Data_Quality_QA</t>
        </is>
      </c>
      <c r="C11" s="38" t="inlineStr">
        <is>
          <t>Completeness, uniqueness, validity, and referential-integrity checks on the raw data. YOU BUILD THIS FIRST.</t>
        </is>
      </c>
    </row>
    <row r="12" ht="33.75" customHeight="1" s="45">
      <c r="B12" s="9" t="inlineStr">
        <is>
          <t>Customer_Lookup</t>
        </is>
      </c>
      <c r="C12" s="38" t="inlineStr">
        <is>
          <t>Pull a full customer profile by ID with INDEX/MATCH, plus a batch lookup with error handling. YOU BUILD THIS.</t>
        </is>
      </c>
    </row>
    <row r="13" ht="33.75" customHeight="1" s="45">
      <c r="B13" s="9" t="inlineStr">
        <is>
          <t>Conversion_Funnel</t>
        </is>
      </c>
      <c r="C13" s="38" t="inlineStr">
        <is>
          <t>The same 5-stage funnel as SQL Q11, rebuilt with COUNTIF/COUNTIFS. YOU BUILD THIS.</t>
        </is>
      </c>
    </row>
    <row r="14" ht="48" customHeight="1" s="45">
      <c r="B14" s="9" t="inlineStr">
        <is>
          <t>Revenue_Model</t>
        </is>
      </c>
      <c r="C14" s="38" t="inlineStr">
        <is>
          <t>12-month B2B revenue projection (setup fee + tiered monthly license, by bank size) plus a sensitivity analysis table. Rebuilt 2026-09-18 for the locked B2B model — the earlier consumer-subscription version is superseded.</t>
        </is>
      </c>
    </row>
    <row r="15" ht="33.75" customHeight="1" s="45">
      <c r="B15" s="9" t="inlineStr">
        <is>
          <t>PivotTable_Tasks</t>
        </is>
      </c>
      <c r="C15" s="38" t="inlineStr">
        <is>
          <t>Step-by-step instructions for 4 PivotTables, built by hand. YOU BUILD THESE.</t>
        </is>
      </c>
    </row>
    <row r="16" ht="33.75" customHeight="1" s="45">
      <c r="B16" s="9" t="inlineStr">
        <is>
          <t>Key_Insights</t>
        </is>
      </c>
      <c r="C16" s="38" t="inlineStr">
        <is>
          <t>Guided prompts — your own written interpretation, for the portfolio case-study narrative. YOU WRITE THIS.</t>
        </is>
      </c>
    </row>
    <row r="18" ht="17.25" customHeight="1" s="45">
      <c r="B18" s="40" t="inlineStr">
        <is>
          <t>Color legend (standard financial-model convention, same as your practice workbook)</t>
        </is>
      </c>
    </row>
    <row r="19" ht="30" customHeight="1" s="45">
      <c r="B19" s="10" t="inlineStr">
        <is>
          <t>Blue bold text</t>
        </is>
      </c>
      <c r="C19" s="39" t="inlineStr">
        <is>
          <t>An input value already provided. You can change it to test scenarios, but it's not something you calculate.</t>
        </is>
      </c>
    </row>
    <row r="20" ht="30" customHeight="1" s="45">
      <c r="B20" s="10" t="inlineStr">
        <is>
          <t>Yellow fill</t>
        </is>
      </c>
      <c r="C20" s="39" t="inlineStr">
        <is>
          <t>A key assumption worth double-checking before trusting the model.</t>
        </is>
      </c>
    </row>
    <row r="21" ht="30" customHeight="1" s="45">
      <c r="B21" s="10" t="inlineStr">
        <is>
          <t>Green fill</t>
        </is>
      </c>
      <c r="C21" s="39" t="inlineStr">
        <is>
          <t>BLANK — this is where you build a formula. Nothing is pre-filled here on purpose.</t>
        </is>
      </c>
    </row>
    <row r="22" ht="30" customHeight="1" s="45">
      <c r="B22" s="10" t="inlineStr">
        <is>
          <t>Black text</t>
        </is>
      </c>
      <c r="C22" s="39" t="inlineStr">
        <is>
          <t>A completed formula, once you've filled one in. Never type a hardcoded number where a formula belongs.</t>
        </is>
      </c>
    </row>
    <row r="24" ht="39.75" customHeight="1" s="45">
      <c r="B24" s="37" t="inlineStr">
        <is>
          <t>Note: this workbook uses the exact same sample data as your SQL and BRD/FRD deliverables, so any number you calculate here should match what SQL gives you for the same question — a good way to self-check your work.</t>
        </is>
      </c>
    </row>
  </sheetData>
  <mergeCells count="4">
    <mergeCell ref="B18:C18"/>
    <mergeCell ref="B6:C6"/>
    <mergeCell ref="B24:C24"/>
    <mergeCell ref="B3:C3"/>
  </mergeCells>
  <pageMargins left="0.75" right="0.75" top="1" bottom="1" header="0.511811023622047" footer="0.511811023622047"/>
  <pageSetup orientation="landscape" fitToHeight="0" horizontalDpi="300" verticalDpi="300"/>
</worksheet>
</file>

<file path=xl/worksheets/sheet2.xml><?xml version="1.0" encoding="utf-8"?>
<worksheet xmlns="http://schemas.openxmlformats.org/spreadsheetml/2006/main">
  <sheetPr>
    <outlinePr summaryBelow="1" summaryRight="1"/>
    <pageSetUpPr fitToPage="1"/>
  </sheetPr>
  <dimension ref="A1:E29"/>
  <sheetViews>
    <sheetView topLeftCell="A4" zoomScaleNormal="100" workbookViewId="0">
      <selection activeCell="B1" sqref="B1"/>
    </sheetView>
  </sheetViews>
  <sheetFormatPr baseColWidth="8" defaultColWidth="8.6640625" defaultRowHeight="14.4"/>
  <cols>
    <col width="3" customWidth="1" style="45" min="1" max="1"/>
    <col width="20" customWidth="1" style="45" min="2" max="3"/>
    <col width="16" customWidth="1" style="45" min="4" max="4"/>
    <col width="55" customWidth="1" style="45" min="5" max="5"/>
  </cols>
  <sheetData>
    <row r="1">
      <c r="A1" t="inlineStr">
        <is>
          <t xml:space="preserve"> </t>
        </is>
      </c>
    </row>
    <row r="2" ht="23.25" customHeight="1" s="45">
      <c r="B2" s="7" t="inlineStr">
        <is>
          <t>Data Dictionary</t>
        </is>
      </c>
    </row>
    <row r="3">
      <c r="B3" s="36" t="inlineStr">
        <is>
          <t>Reference only — column definitions for every raw table used across this whole portfolio.</t>
        </is>
      </c>
    </row>
    <row r="5">
      <c r="B5" s="8" t="inlineStr">
        <is>
          <t>Table</t>
        </is>
      </c>
      <c r="C5" s="8" t="inlineStr">
        <is>
          <t>Column</t>
        </is>
      </c>
      <c r="D5" s="8" t="inlineStr">
        <is>
          <t>Type</t>
        </is>
      </c>
      <c r="E5" s="8" t="inlineStr">
        <is>
          <t>Description</t>
        </is>
      </c>
    </row>
    <row r="6" ht="27.75" customHeight="1" s="45">
      <c r="B6" s="10" t="inlineStr">
        <is>
          <t>Raw_Transactions</t>
        </is>
      </c>
      <c r="C6" s="10" t="inlineStr">
        <is>
          <t>ObligationID</t>
        </is>
      </c>
      <c r="D6" s="10" t="inlineStr">
        <is>
          <t>Number</t>
        </is>
      </c>
      <c r="E6" s="38" t="inlineStr">
        <is>
          <t>Unique ID for one installment cycle — one customer's one payment due on one date.</t>
        </is>
      </c>
    </row>
    <row r="7" ht="27.75" customHeight="1" s="45">
      <c r="B7" s="10" t="inlineStr">
        <is>
          <t>Raw_Transactions</t>
        </is>
      </c>
      <c r="C7" s="10" t="inlineStr">
        <is>
          <t>CustomerID</t>
        </is>
      </c>
      <c r="D7" s="10" t="inlineStr">
        <is>
          <t>Number</t>
        </is>
      </c>
      <c r="E7" s="38" t="inlineStr">
        <is>
          <t>Foreign key to Raw_Customers.</t>
        </is>
      </c>
    </row>
    <row r="8" ht="27.75" customHeight="1" s="45">
      <c r="B8" s="10" t="inlineStr">
        <is>
          <t>Raw_Transactions</t>
        </is>
      </c>
      <c r="C8" s="10" t="inlineStr">
        <is>
          <t>CustomerName</t>
        </is>
      </c>
      <c r="D8" s="10" t="inlineStr">
        <is>
          <t>Text</t>
        </is>
      </c>
      <c r="E8" s="38" t="inlineStr">
        <is>
          <t>Customer's full name (denormalized for convenience).</t>
        </is>
      </c>
    </row>
    <row r="9" ht="27.75" customHeight="1" s="45">
      <c r="B9" s="10" t="inlineStr">
        <is>
          <t>Raw_Transactions</t>
        </is>
      </c>
      <c r="C9" s="10" t="inlineStr">
        <is>
          <t>Provider</t>
        </is>
      </c>
      <c r="D9" s="10" t="inlineStr">
        <is>
          <t>Text</t>
        </is>
      </c>
      <c r="E9" s="38" t="inlineStr">
        <is>
          <t>BNPL provider for this obligation (Atome, Shopee SPayLater, Grab PayLater, LazPayLater, TrueMoney Next).</t>
        </is>
      </c>
    </row>
    <row r="10" ht="27.75" customHeight="1" s="45">
      <c r="B10" s="10" t="inlineStr">
        <is>
          <t>Raw_Transactions</t>
        </is>
      </c>
      <c r="C10" s="10" t="inlineStr">
        <is>
          <t>DueDate</t>
        </is>
      </c>
      <c r="D10" s="10" t="inlineStr">
        <is>
          <t>Date</t>
        </is>
      </c>
      <c r="E10" s="38" t="inlineStr">
        <is>
          <t>When this installment was due.</t>
        </is>
      </c>
    </row>
    <row r="11" ht="27.75" customHeight="1" s="45">
      <c r="B11" s="10" t="inlineStr">
        <is>
          <t>Raw_Transactions</t>
        </is>
      </c>
      <c r="C11" s="10" t="inlineStr">
        <is>
          <t>ExpectedAmount</t>
        </is>
      </c>
      <c r="D11" s="10" t="inlineStr">
        <is>
          <t>Currency (THB)</t>
        </is>
      </c>
      <c r="E11" s="38" t="inlineStr">
        <is>
          <t>Scheduled installment amount.</t>
        </is>
      </c>
    </row>
    <row r="12" ht="27.75" customHeight="1" s="45">
      <c r="B12" s="10" t="inlineStr">
        <is>
          <t>Raw_Transactions</t>
        </is>
      </c>
      <c r="C12" s="10" t="inlineStr">
        <is>
          <t>ActualPaidAmount</t>
        </is>
      </c>
      <c r="D12" s="10" t="inlineStr">
        <is>
          <t>Currency (THB)</t>
        </is>
      </c>
      <c r="E12" s="38" t="inlineStr">
        <is>
          <t>What the customer actually paid.</t>
        </is>
      </c>
    </row>
    <row r="13" ht="27.75" customHeight="1" s="45">
      <c r="B13" s="10" t="inlineStr">
        <is>
          <t>Raw_Transactions</t>
        </is>
      </c>
      <c r="C13" s="10" t="inlineStr">
        <is>
          <t>DaysLate</t>
        </is>
      </c>
      <c r="D13" s="10" t="inlineStr">
        <is>
          <t>Number</t>
        </is>
      </c>
      <c r="E13" s="38" t="inlineStr">
        <is>
          <t>Days past due. 0 = on time.</t>
        </is>
      </c>
    </row>
    <row r="14" ht="27.75" customHeight="1" s="45">
      <c r="B14" s="10" t="inlineStr">
        <is>
          <t>Raw_Transactions</t>
        </is>
      </c>
      <c r="C14" s="10" t="inlineStr">
        <is>
          <t>Cycle</t>
        </is>
      </c>
      <c r="D14" s="10" t="inlineStr">
        <is>
          <t>Number</t>
        </is>
      </c>
      <c r="E14" s="38" t="inlineStr">
        <is>
          <t>Which installment number this is for that specific purchase (1st, 2nd, 3rd payment...).</t>
        </is>
      </c>
    </row>
    <row r="15" ht="27.75" customHeight="1" s="45">
      <c r="B15" s="10" t="inlineStr">
        <is>
          <t>Raw_Transactions</t>
        </is>
      </c>
      <c r="C15" s="10" t="inlineStr">
        <is>
          <t>ExtraCharged</t>
        </is>
      </c>
      <c r="D15" s="10" t="inlineStr">
        <is>
          <t>Currency (THB), formula</t>
        </is>
      </c>
      <c r="E15" s="38" t="inlineStr">
        <is>
          <t>ActualPaidAmount − ExpectedAmount. Positive = late fee/overage.</t>
        </is>
      </c>
    </row>
    <row r="16" ht="27.75" customHeight="1" s="45">
      <c r="B16" s="10" t="inlineStr">
        <is>
          <t>Raw_Customers</t>
        </is>
      </c>
      <c r="C16" s="10" t="inlineStr">
        <is>
          <t>CustomerID</t>
        </is>
      </c>
      <c r="D16" s="10" t="inlineStr">
        <is>
          <t>Number</t>
        </is>
      </c>
      <c r="E16" s="38" t="inlineStr">
        <is>
          <t>Unique customer identifier.</t>
        </is>
      </c>
    </row>
    <row r="17" ht="27.75" customHeight="1" s="45">
      <c r="B17" s="10" t="inlineStr">
        <is>
          <t>Raw_Customers</t>
        </is>
      </c>
      <c r="C17" s="10" t="inlineStr">
        <is>
          <t>FullName</t>
        </is>
      </c>
      <c r="D17" s="10" t="inlineStr">
        <is>
          <t>Text</t>
        </is>
      </c>
      <c r="E17" s="38" t="inlineStr">
        <is>
          <t>Customer's full name.</t>
        </is>
      </c>
    </row>
    <row r="18" ht="27.75" customHeight="1" s="45">
      <c r="B18" s="10" t="inlineStr">
        <is>
          <t>Raw_Customers</t>
        </is>
      </c>
      <c r="C18" s="10" t="inlineStr">
        <is>
          <t>MonthlyIncome</t>
        </is>
      </c>
      <c r="D18" s="10" t="inlineStr">
        <is>
          <t>Currency (THB)</t>
        </is>
      </c>
      <c r="E18" s="38" t="inlineStr">
        <is>
          <t>Verified monthly income.</t>
        </is>
      </c>
    </row>
    <row r="19" ht="27.75" customHeight="1" s="45">
      <c r="B19" s="10" t="inlineStr">
        <is>
          <t>Raw_Customers</t>
        </is>
      </c>
      <c r="C19" s="10" t="inlineStr">
        <is>
          <t>CreditScore</t>
        </is>
      </c>
      <c r="D19" s="10" t="inlineStr">
        <is>
          <t>Number</t>
        </is>
      </c>
      <c r="E19" s="38" t="inlineStr">
        <is>
          <t>Credit score. Blank/0 = never screened (no late-payment signal yet).</t>
        </is>
      </c>
    </row>
    <row r="20" ht="27.75" customHeight="1" s="45">
      <c r="B20" s="10" t="inlineStr">
        <is>
          <t>Raw_Customers</t>
        </is>
      </c>
      <c r="C20" s="10" t="inlineStr">
        <is>
          <t>DSR_Pct</t>
        </is>
      </c>
      <c r="D20" s="10" t="inlineStr">
        <is>
          <t>Percent</t>
        </is>
      </c>
      <c r="E20" s="38" t="inlineStr">
        <is>
          <t>Debt Service Ratio — % of income already committed to debt payments.</t>
        </is>
      </c>
    </row>
    <row r="21" ht="27.75" customHeight="1" s="45">
      <c r="B21" s="10" t="inlineStr">
        <is>
          <t>Raw_Customers</t>
        </is>
      </c>
      <c r="C21" s="10" t="inlineStr">
        <is>
          <t>EligibilityOutcome</t>
        </is>
      </c>
      <c r="D21" s="10" t="inlineStr">
        <is>
          <t>Text</t>
        </is>
      </c>
      <c r="E21" s="38" t="inlineStr">
        <is>
          <t>Eligible / Not Eligible / Not Screened — result of the credit/DSR check.</t>
        </is>
      </c>
    </row>
    <row r="22" ht="27.75" customHeight="1" s="45">
      <c r="B22" s="10" t="inlineStr">
        <is>
          <t>Raw_Customers</t>
        </is>
      </c>
      <c r="C22" s="10" t="inlineStr">
        <is>
          <t>Segment</t>
        </is>
      </c>
      <c r="D22" s="10" t="inlineStr">
        <is>
          <t>Text</t>
        </is>
      </c>
      <c r="E22" s="38" t="inlineStr">
        <is>
          <t>Stacked - at risk / Stacked - healthy / Single provider / Not a BNPL user.</t>
        </is>
      </c>
    </row>
    <row r="23" ht="27.75" customHeight="1" s="45">
      <c r="B23" s="10" t="inlineStr">
        <is>
          <t>Raw_Offers</t>
        </is>
      </c>
      <c r="C23" s="10" t="inlineStr">
        <is>
          <t>CustomerID</t>
        </is>
      </c>
      <c r="D23" s="10" t="inlineStr">
        <is>
          <t>Number</t>
        </is>
      </c>
      <c r="E23" s="38" t="inlineStr">
        <is>
          <t>Foreign key to Raw_Customers.</t>
        </is>
      </c>
    </row>
    <row r="24" ht="27.75" customHeight="1" s="45">
      <c r="B24" s="10" t="inlineStr">
        <is>
          <t>Raw_Offers</t>
        </is>
      </c>
      <c r="C24" s="10" t="inlineStr">
        <is>
          <t>FullName</t>
        </is>
      </c>
      <c r="D24" s="10" t="inlineStr">
        <is>
          <t>Text</t>
        </is>
      </c>
      <c r="E24" s="38" t="inlineStr">
        <is>
          <t>Customer's full name.</t>
        </is>
      </c>
    </row>
    <row r="25" ht="27.75" customHeight="1" s="45">
      <c r="B25" s="10" t="inlineStr">
        <is>
          <t>Raw_Offers</t>
        </is>
      </c>
      <c r="C25" s="10" t="inlineStr">
        <is>
          <t>OfferDate</t>
        </is>
      </c>
      <c r="D25" s="10" t="inlineStr">
        <is>
          <t>Date</t>
        </is>
      </c>
      <c r="E25" s="38" t="inlineStr">
        <is>
          <t>When the consolidation loan offer was made.</t>
        </is>
      </c>
    </row>
    <row r="26" ht="27.75" customHeight="1" s="45">
      <c r="B26" s="10" t="inlineStr">
        <is>
          <t>Raw_Offers</t>
        </is>
      </c>
      <c r="C26" s="10" t="inlineStr">
        <is>
          <t>TotalAmount</t>
        </is>
      </c>
      <c r="D26" s="10" t="inlineStr">
        <is>
          <t>Currency (THB)</t>
        </is>
      </c>
      <c r="E26" s="38" t="inlineStr">
        <is>
          <t>Total consolidation loan amount offered.</t>
        </is>
      </c>
    </row>
    <row r="27" ht="27.75" customHeight="1" s="45">
      <c r="B27" s="10" t="inlineStr">
        <is>
          <t>Raw_Offers</t>
        </is>
      </c>
      <c r="C27" s="10" t="inlineStr">
        <is>
          <t>OfferedRatePct</t>
        </is>
      </c>
      <c r="D27" s="10" t="inlineStr">
        <is>
          <t>Percent</t>
        </is>
      </c>
      <c r="E27" s="38" t="inlineStr">
        <is>
          <t>Annual interest rate offered on the consolidation loan.</t>
        </is>
      </c>
    </row>
    <row r="28" ht="27.75" customHeight="1" s="45">
      <c r="B28" s="10" t="inlineStr">
        <is>
          <t>Raw_Offers</t>
        </is>
      </c>
      <c r="C28" s="10" t="inlineStr">
        <is>
          <t>MonthlyPayment</t>
        </is>
      </c>
      <c r="D28" s="10" t="inlineStr">
        <is>
          <t>Currency (THB)</t>
        </is>
      </c>
      <c r="E28" s="38" t="inlineStr">
        <is>
          <t>Monthly payment amount for the consolidation loan.</t>
        </is>
      </c>
    </row>
    <row r="29" ht="27.75" customHeight="1" s="45">
      <c r="B29" s="10" t="inlineStr">
        <is>
          <t>Raw_Offers</t>
        </is>
      </c>
      <c r="C29" s="10" t="inlineStr">
        <is>
          <t>Status</t>
        </is>
      </c>
      <c r="D29" s="10" t="inlineStr">
        <is>
          <t>Text</t>
        </is>
      </c>
      <c r="E29" s="38" t="inlineStr">
        <is>
          <t>Accepted / Declined.</t>
        </is>
      </c>
    </row>
  </sheetData>
  <mergeCells count="1">
    <mergeCell ref="B3:E3"/>
  </mergeCells>
  <pageMargins left="0.75" right="0.75" top="1" bottom="1" header="0.511811023622047" footer="0.511811023622047"/>
  <pageSetup orientation="landscape" fitToHeight="0" horizontalDpi="300" verticalDpi="300"/>
</worksheet>
</file>

<file path=xl/worksheets/sheet3.xml><?xml version="1.0" encoding="utf-8"?>
<worksheet xmlns="http://schemas.openxmlformats.org/spreadsheetml/2006/main">
  <sheetPr>
    <outlinePr summaryBelow="1" summaryRight="1"/>
    <pageSetUpPr/>
  </sheetPr>
  <dimension ref="A3:I11"/>
  <sheetViews>
    <sheetView zoomScaleNormal="100" workbookViewId="0">
      <selection activeCell="B5" sqref="B5"/>
    </sheetView>
  </sheetViews>
  <sheetFormatPr baseColWidth="8" defaultColWidth="8.6640625" defaultRowHeight="14.4"/>
  <cols>
    <col width="15.5546875" customWidth="1" style="45" min="1" max="1"/>
    <col width="22.33203125" customWidth="1" style="45" min="2" max="2"/>
    <col width="23.33203125" customWidth="1" style="45" min="3" max="3"/>
    <col width="6" customWidth="1" style="45" min="4" max="4"/>
    <col width="23.6640625" customWidth="1" style="45" min="5" max="5"/>
    <col width="6" customWidth="1" style="45" min="6" max="7"/>
    <col width="27.109375" customWidth="1" style="45" min="8" max="8"/>
    <col width="28.44140625" customWidth="1" style="45" min="9" max="9"/>
    <col width="7.44140625" customWidth="1" style="45" min="10" max="10"/>
    <col width="8" customWidth="1" style="45" min="11" max="11"/>
    <col width="7.44140625" customWidth="1" style="45" min="12" max="23"/>
    <col width="7.109375" customWidth="1" style="45" min="24" max="30"/>
    <col width="8.109375" customWidth="1" style="45" min="31" max="45"/>
    <col width="6.6640625" customWidth="1" style="45" min="46" max="52"/>
    <col width="7.6640625" customWidth="1" style="45" min="53" max="67"/>
    <col width="23.6640625" customWidth="1" style="45" min="68" max="68"/>
    <col width="6.44140625" customWidth="1" style="45" min="69" max="74"/>
    <col width="7.44140625" customWidth="1" style="45" min="75" max="89"/>
    <col width="7.109375" customWidth="1" style="45" min="90" max="96"/>
    <col width="8.109375" customWidth="1" style="45" min="97" max="111"/>
    <col width="6.6640625" customWidth="1" style="45" min="112" max="118"/>
    <col width="7.6640625" customWidth="1" style="45" min="119" max="133"/>
    <col width="27.109375" customWidth="1" style="45" min="134" max="134"/>
    <col width="28.44140625" customWidth="1" style="45" min="135" max="135"/>
  </cols>
  <sheetData>
    <row r="3">
      <c r="B3" s="43" t="inlineStr">
        <is>
          <t>Column Labels</t>
        </is>
      </c>
    </row>
    <row r="4">
      <c r="B4" t="inlineStr">
        <is>
          <t>Sum of ExpectedAmount</t>
        </is>
      </c>
      <c r="E4" t="inlineStr">
        <is>
          <t>Sum of ActualPaidAmount</t>
        </is>
      </c>
      <c r="H4" t="inlineStr">
        <is>
          <t>Total Sum of ExpectedAmount</t>
        </is>
      </c>
      <c r="I4" t="inlineStr">
        <is>
          <t>Total Sum of ActualPaidAmount</t>
        </is>
      </c>
    </row>
    <row r="5">
      <c r="A5" s="43" t="inlineStr">
        <is>
          <t>Row Labels</t>
        </is>
      </c>
      <c r="B5" t="inlineStr">
        <is>
          <t>มี.ค.</t>
        </is>
      </c>
      <c r="C5" t="inlineStr">
        <is>
          <t>เม.ย.</t>
        </is>
      </c>
      <c r="D5" t="inlineStr">
        <is>
          <t>พ.ค.</t>
        </is>
      </c>
      <c r="E5" t="inlineStr">
        <is>
          <t>มี.ค.</t>
        </is>
      </c>
      <c r="F5" t="inlineStr">
        <is>
          <t>เม.ย.</t>
        </is>
      </c>
      <c r="G5" t="inlineStr">
        <is>
          <t>พ.ค.</t>
        </is>
      </c>
    </row>
    <row r="6">
      <c r="A6" s="44" t="inlineStr">
        <is>
          <t>Atome</t>
        </is>
      </c>
      <c r="B6" t="n">
        <v>7500</v>
      </c>
      <c r="C6" t="n">
        <v>7500</v>
      </c>
      <c r="D6" t="n">
        <v>7500</v>
      </c>
      <c r="E6" t="n">
        <v>7500</v>
      </c>
      <c r="F6" t="n">
        <v>7500</v>
      </c>
      <c r="G6" t="n">
        <v>7775</v>
      </c>
      <c r="H6" t="n">
        <v>22500</v>
      </c>
      <c r="I6" t="n">
        <v>22775</v>
      </c>
    </row>
    <row r="7">
      <c r="A7" s="44" t="inlineStr">
        <is>
          <t>Grab PayLater</t>
        </is>
      </c>
      <c r="B7" t="n">
        <v>2350</v>
      </c>
      <c r="C7" t="n">
        <v>2350</v>
      </c>
      <c r="D7" t="n">
        <v>2350</v>
      </c>
      <c r="E7" t="n">
        <v>2350</v>
      </c>
      <c r="F7" t="n">
        <v>2350</v>
      </c>
      <c r="G7" t="n">
        <v>2675</v>
      </c>
      <c r="H7" t="n">
        <v>7050</v>
      </c>
      <c r="I7" t="n">
        <v>7375</v>
      </c>
    </row>
    <row r="8">
      <c r="A8" s="44" t="inlineStr">
        <is>
          <t>LazPayLater</t>
        </is>
      </c>
      <c r="B8" t="n">
        <v>3150</v>
      </c>
      <c r="C8" t="n">
        <v>3150</v>
      </c>
      <c r="D8" t="n">
        <v>3150</v>
      </c>
      <c r="E8" t="n">
        <v>3150</v>
      </c>
      <c r="F8" t="n">
        <v>3150</v>
      </c>
      <c r="G8" t="n">
        <v>3435</v>
      </c>
      <c r="H8" t="n">
        <v>9450</v>
      </c>
      <c r="I8" t="n">
        <v>9735</v>
      </c>
    </row>
    <row r="9">
      <c r="A9" s="44" t="inlineStr">
        <is>
          <t>Shopee SPayLater</t>
        </is>
      </c>
      <c r="B9" t="n">
        <v>11250</v>
      </c>
      <c r="C9" t="n">
        <v>11250</v>
      </c>
      <c r="D9" t="n">
        <v>11250</v>
      </c>
      <c r="E9" t="n">
        <v>11250</v>
      </c>
      <c r="F9" t="n">
        <v>11250</v>
      </c>
      <c r="G9" t="n">
        <v>12425</v>
      </c>
      <c r="H9" t="n">
        <v>33750</v>
      </c>
      <c r="I9" t="n">
        <v>34925</v>
      </c>
    </row>
    <row r="10">
      <c r="A10" s="44" t="inlineStr">
        <is>
          <t>TrueMoney Next</t>
        </is>
      </c>
      <c r="B10" t="n">
        <v>3700</v>
      </c>
      <c r="C10" t="n">
        <v>3700</v>
      </c>
      <c r="D10" t="n">
        <v>3700</v>
      </c>
      <c r="E10" t="n">
        <v>3700</v>
      </c>
      <c r="F10" t="n">
        <v>3700</v>
      </c>
      <c r="G10" t="n">
        <v>3980</v>
      </c>
      <c r="H10" t="n">
        <v>11100</v>
      </c>
      <c r="I10" t="n">
        <v>11380</v>
      </c>
    </row>
    <row r="11">
      <c r="A11" s="44" t="inlineStr">
        <is>
          <t>Grand Total</t>
        </is>
      </c>
      <c r="B11" t="n">
        <v>27950</v>
      </c>
      <c r="C11" t="n">
        <v>27950</v>
      </c>
      <c r="D11" t="n">
        <v>27950</v>
      </c>
      <c r="E11" t="n">
        <v>27950</v>
      </c>
      <c r="F11" t="n">
        <v>27950</v>
      </c>
      <c r="G11" t="n">
        <v>30290</v>
      </c>
      <c r="H11" t="n">
        <v>83850</v>
      </c>
      <c r="I11" t="n">
        <v>86190</v>
      </c>
    </row>
  </sheetData>
  <pageMargins left="0.7" right="0.7" top="0.75" bottom="0.75"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3:B8"/>
  <sheetViews>
    <sheetView zoomScaleNormal="100" workbookViewId="0">
      <selection activeCell="A3" sqref="A3"/>
    </sheetView>
  </sheetViews>
  <sheetFormatPr baseColWidth="8" defaultColWidth="8.6640625" defaultRowHeight="14.4"/>
  <cols>
    <col width="15" customWidth="1" style="45" min="1" max="1"/>
    <col width="18.88671875" customWidth="1" style="45" min="2" max="2"/>
  </cols>
  <sheetData>
    <row r="3">
      <c r="A3" s="14" t="inlineStr">
        <is>
          <t>Segment</t>
        </is>
      </c>
      <c r="B3" s="15" t="inlineStr">
        <is>
          <t>Count of CustomerID</t>
        </is>
      </c>
    </row>
    <row r="4">
      <c r="A4" s="11" t="inlineStr">
        <is>
          <t>Not a BNPL user</t>
        </is>
      </c>
      <c r="B4" s="16" t="n">
        <v>4</v>
      </c>
    </row>
    <row r="5">
      <c r="A5" s="12" t="inlineStr">
        <is>
          <t>Single provider</t>
        </is>
      </c>
      <c r="B5" s="17" t="n">
        <v>4</v>
      </c>
    </row>
    <row r="6">
      <c r="A6" s="12" t="inlineStr">
        <is>
          <t>Stacked - at risk</t>
        </is>
      </c>
      <c r="B6" s="17" t="n">
        <v>8</v>
      </c>
    </row>
    <row r="7">
      <c r="A7" s="12" t="inlineStr">
        <is>
          <t>Stacked - healthy</t>
        </is>
      </c>
      <c r="B7" s="18" t="n">
        <v>4</v>
      </c>
    </row>
    <row r="8">
      <c r="A8" s="13" t="inlineStr">
        <is>
          <t>Total Result</t>
        </is>
      </c>
      <c r="B8" s="19" t="n">
        <v>20</v>
      </c>
    </row>
  </sheetData>
  <pageMargins left="0.7" right="0.7" top="0.75" bottom="0.75"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3:B9"/>
  <sheetViews>
    <sheetView zoomScaleNormal="100" workbookViewId="0">
      <selection activeCell="A4" sqref="A4"/>
    </sheetView>
  </sheetViews>
  <sheetFormatPr baseColWidth="8" defaultColWidth="8.6640625" defaultRowHeight="14.4"/>
  <cols>
    <col width="15.5546875" customWidth="1" style="45" min="1" max="1"/>
    <col width="18.88671875" customWidth="1" style="45" min="2" max="2"/>
  </cols>
  <sheetData>
    <row r="3">
      <c r="A3" s="43" t="inlineStr">
        <is>
          <t>Row Labels</t>
        </is>
      </c>
      <c r="B3" t="inlineStr">
        <is>
          <t>Sum of ExtraCharged</t>
        </is>
      </c>
    </row>
    <row r="4">
      <c r="A4" s="44" t="inlineStr">
        <is>
          <t>Atome</t>
        </is>
      </c>
      <c r="B4" t="n">
        <v>275</v>
      </c>
    </row>
    <row r="5">
      <c r="A5" s="44" t="inlineStr">
        <is>
          <t>Grab PayLater</t>
        </is>
      </c>
      <c r="B5" t="n">
        <v>325</v>
      </c>
    </row>
    <row r="6">
      <c r="A6" s="44" t="inlineStr">
        <is>
          <t>LazPayLater</t>
        </is>
      </c>
      <c r="B6" t="n">
        <v>285</v>
      </c>
    </row>
    <row r="7">
      <c r="A7" s="44" t="inlineStr">
        <is>
          <t>Shopee SPayLater</t>
        </is>
      </c>
      <c r="B7" t="n">
        <v>1175</v>
      </c>
    </row>
    <row r="8">
      <c r="A8" s="44" t="inlineStr">
        <is>
          <t>TrueMoney Next</t>
        </is>
      </c>
      <c r="B8" t="n">
        <v>280</v>
      </c>
    </row>
    <row r="9">
      <c r="A9" s="44" t="inlineStr">
        <is>
          <t>Grand Total</t>
        </is>
      </c>
      <c r="B9" t="n">
        <v>2340</v>
      </c>
    </row>
  </sheetData>
  <pageMargins left="0.7" right="0.7" top="0.75" bottom="0.75"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3:B6"/>
  <sheetViews>
    <sheetView zoomScaleNormal="100" workbookViewId="0">
      <selection activeCell="A3" sqref="A3"/>
    </sheetView>
  </sheetViews>
  <sheetFormatPr baseColWidth="8" defaultColWidth="8.6640625" defaultRowHeight="14.4"/>
  <cols>
    <col width="12.5546875" customWidth="1" style="45" min="1" max="1"/>
    <col width="23.77734375" customWidth="1" style="45" min="2" max="2"/>
  </cols>
  <sheetData>
    <row r="3">
      <c r="A3" s="14" t="inlineStr">
        <is>
          <t>Status</t>
        </is>
      </c>
      <c r="B3" s="15" t="inlineStr">
        <is>
          <t>Average of OfferedRatePct</t>
        </is>
      </c>
    </row>
    <row r="4">
      <c r="A4" s="11" t="inlineStr">
        <is>
          <t>Accepted</t>
        </is>
      </c>
      <c r="B4" s="16" t="n">
        <v>0.15</v>
      </c>
    </row>
    <row r="5">
      <c r="A5" s="12" t="inlineStr">
        <is>
          <t>Declined</t>
        </is>
      </c>
      <c r="B5" s="18" t="n">
        <v>0.14</v>
      </c>
    </row>
    <row r="6">
      <c r="A6" s="13" t="inlineStr">
        <is>
          <t>Total Result</t>
        </is>
      </c>
      <c r="B6" s="19" t="n">
        <v>0.1475</v>
      </c>
    </row>
  </sheetData>
  <pageMargins left="0.7" right="0.7" top="0.75" bottom="0.75"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fitToPage="1"/>
  </sheetPr>
  <dimension ref="A1:J91"/>
  <sheetViews>
    <sheetView topLeftCell="A2" zoomScaleNormal="100" workbookViewId="0">
      <selection activeCell="E6" sqref="E6"/>
    </sheetView>
  </sheetViews>
  <sheetFormatPr baseColWidth="8" defaultColWidth="8.6640625" defaultRowHeight="14.4"/>
  <cols>
    <col width="12" customWidth="1" style="45" min="1" max="1"/>
    <col width="11" customWidth="1" style="45" min="2" max="2"/>
    <col width="18" customWidth="1" style="45" min="3" max="3"/>
    <col width="17" customWidth="1" style="45" min="4" max="4"/>
    <col width="12" customWidth="1" style="45" min="5" max="5"/>
    <col width="15" customWidth="1" style="45" min="6" max="6"/>
    <col width="16" customWidth="1" style="45" min="7" max="7"/>
    <col width="9" customWidth="1" style="45" min="8" max="8"/>
    <col width="7" customWidth="1" style="45" min="9" max="9"/>
    <col width="12" customWidth="1" style="45" min="10" max="10"/>
  </cols>
  <sheetData>
    <row r="1">
      <c r="A1" s="8" t="inlineStr">
        <is>
          <t>ObligationID</t>
        </is>
      </c>
      <c r="B1" s="8" t="inlineStr">
        <is>
          <t>CustomerID</t>
        </is>
      </c>
      <c r="C1" s="8" t="inlineStr">
        <is>
          <t>CustomerName</t>
        </is>
      </c>
      <c r="D1" s="8" t="inlineStr">
        <is>
          <t>Provider</t>
        </is>
      </c>
      <c r="E1" s="8" t="inlineStr">
        <is>
          <t>DueDate</t>
        </is>
      </c>
      <c r="F1" s="8" t="inlineStr">
        <is>
          <t>ExpectedAmount</t>
        </is>
      </c>
      <c r="G1" s="8" t="inlineStr">
        <is>
          <t>ActualPaidAmount</t>
        </is>
      </c>
      <c r="H1" s="8" t="inlineStr">
        <is>
          <t>DaysLate</t>
        </is>
      </c>
      <c r="I1" s="8" t="inlineStr">
        <is>
          <t>Cycle</t>
        </is>
      </c>
      <c r="J1" s="8" t="inlineStr">
        <is>
          <t>ExtraCharged</t>
        </is>
      </c>
    </row>
    <row r="2">
      <c r="A2" t="n">
        <v>1</v>
      </c>
      <c r="B2" t="n">
        <v>101</v>
      </c>
      <c r="C2" t="inlineStr">
        <is>
          <t>Somchai Jaidee</t>
        </is>
      </c>
      <c r="D2" t="inlineStr">
        <is>
          <t>Shopee SPayLater</t>
        </is>
      </c>
      <c r="E2" s="20" t="n">
        <v>46096</v>
      </c>
      <c r="F2" t="n">
        <v>1200</v>
      </c>
      <c r="G2" t="n">
        <v>1200</v>
      </c>
      <c r="H2" t="n">
        <v>0</v>
      </c>
      <c r="I2" t="n">
        <v>1</v>
      </c>
      <c r="J2">
        <f>G2-F2</f>
        <v/>
      </c>
    </row>
    <row r="3">
      <c r="A3" t="n">
        <v>2</v>
      </c>
      <c r="B3" t="n">
        <v>101</v>
      </c>
      <c r="C3" t="inlineStr">
        <is>
          <t>Somchai Jaidee</t>
        </is>
      </c>
      <c r="D3" t="inlineStr">
        <is>
          <t>Atome</t>
        </is>
      </c>
      <c r="E3" s="20" t="n">
        <v>46099</v>
      </c>
      <c r="F3" t="n">
        <v>800</v>
      </c>
      <c r="G3" t="n">
        <v>800</v>
      </c>
      <c r="H3" t="n">
        <v>0</v>
      </c>
      <c r="I3" t="n">
        <v>1</v>
      </c>
      <c r="J3">
        <f>G3-F3</f>
        <v/>
      </c>
    </row>
    <row r="4">
      <c r="A4" t="n">
        <v>3</v>
      </c>
      <c r="B4" t="n">
        <v>101</v>
      </c>
      <c r="C4" t="inlineStr">
        <is>
          <t>Somchai Jaidee</t>
        </is>
      </c>
      <c r="D4" t="inlineStr">
        <is>
          <t>Shopee SPayLater</t>
        </is>
      </c>
      <c r="E4" s="20" t="n">
        <v>46127</v>
      </c>
      <c r="F4" t="n">
        <v>1200</v>
      </c>
      <c r="G4" t="n">
        <v>1200</v>
      </c>
      <c r="H4" t="n">
        <v>0</v>
      </c>
      <c r="I4" t="n">
        <v>2</v>
      </c>
      <c r="J4">
        <f>G4-F4</f>
        <v/>
      </c>
    </row>
    <row r="5">
      <c r="A5" t="n">
        <v>4</v>
      </c>
      <c r="B5" t="n">
        <v>101</v>
      </c>
      <c r="C5" t="inlineStr">
        <is>
          <t>Somchai Jaidee</t>
        </is>
      </c>
      <c r="D5" t="inlineStr">
        <is>
          <t>Atome</t>
        </is>
      </c>
      <c r="E5" s="20" t="n">
        <v>46130</v>
      </c>
      <c r="F5" t="n">
        <v>800</v>
      </c>
      <c r="G5" t="n">
        <v>800</v>
      </c>
      <c r="H5" t="n">
        <v>0</v>
      </c>
      <c r="I5" t="n">
        <v>2</v>
      </c>
      <c r="J5">
        <f>G5-F5</f>
        <v/>
      </c>
    </row>
    <row r="6">
      <c r="A6" t="n">
        <v>5</v>
      </c>
      <c r="B6" t="n">
        <v>101</v>
      </c>
      <c r="C6" t="inlineStr">
        <is>
          <t>Somchai Jaidee</t>
        </is>
      </c>
      <c r="D6" t="inlineStr">
        <is>
          <t>Shopee SPayLater</t>
        </is>
      </c>
      <c r="E6" s="20" t="n">
        <v>46157</v>
      </c>
      <c r="F6" t="n">
        <v>1200</v>
      </c>
      <c r="G6" t="n">
        <v>1450</v>
      </c>
      <c r="H6" t="n">
        <v>7</v>
      </c>
      <c r="I6" t="n">
        <v>3</v>
      </c>
      <c r="J6">
        <f>G6-F6</f>
        <v/>
      </c>
    </row>
    <row r="7">
      <c r="A7" t="n">
        <v>6</v>
      </c>
      <c r="B7" t="n">
        <v>101</v>
      </c>
      <c r="C7" t="inlineStr">
        <is>
          <t>Somchai Jaidee</t>
        </is>
      </c>
      <c r="D7" t="inlineStr">
        <is>
          <t>Atome</t>
        </is>
      </c>
      <c r="E7" s="20" t="n">
        <v>46160</v>
      </c>
      <c r="F7" t="n">
        <v>800</v>
      </c>
      <c r="G7" t="n">
        <v>800</v>
      </c>
      <c r="H7" t="n">
        <v>0</v>
      </c>
      <c r="I7" t="n">
        <v>3</v>
      </c>
      <c r="J7">
        <f>G7-F7</f>
        <v/>
      </c>
    </row>
    <row r="8">
      <c r="A8" t="n">
        <v>7</v>
      </c>
      <c r="B8" t="n">
        <v>102</v>
      </c>
      <c r="C8" t="inlineStr">
        <is>
          <t>Suda Panyawong</t>
        </is>
      </c>
      <c r="D8" t="inlineStr">
        <is>
          <t>Shopee SPayLater</t>
        </is>
      </c>
      <c r="E8" s="20" t="n">
        <v>46091</v>
      </c>
      <c r="F8" t="n">
        <v>2000</v>
      </c>
      <c r="G8" t="n">
        <v>2000</v>
      </c>
      <c r="H8" t="n">
        <v>0</v>
      </c>
      <c r="I8" t="n">
        <v>1</v>
      </c>
      <c r="J8">
        <f>G8-F8</f>
        <v/>
      </c>
    </row>
    <row r="9">
      <c r="A9" t="n">
        <v>8</v>
      </c>
      <c r="B9" t="n">
        <v>102</v>
      </c>
      <c r="C9" t="inlineStr">
        <is>
          <t>Suda Panyawong</t>
        </is>
      </c>
      <c r="D9" t="inlineStr">
        <is>
          <t>LazPayLater</t>
        </is>
      </c>
      <c r="E9" s="20" t="n">
        <v>46093</v>
      </c>
      <c r="F9" t="n">
        <v>1500</v>
      </c>
      <c r="G9" t="n">
        <v>1500</v>
      </c>
      <c r="H9" t="n">
        <v>0</v>
      </c>
      <c r="I9" t="n">
        <v>1</v>
      </c>
      <c r="J9">
        <f>G9-F9</f>
        <v/>
      </c>
    </row>
    <row r="10">
      <c r="A10" t="n">
        <v>9</v>
      </c>
      <c r="B10" t="n">
        <v>102</v>
      </c>
      <c r="C10" t="inlineStr">
        <is>
          <t>Suda Panyawong</t>
        </is>
      </c>
      <c r="D10" t="inlineStr">
        <is>
          <t>TrueMoney Next</t>
        </is>
      </c>
      <c r="E10" s="20" t="n">
        <v>46095</v>
      </c>
      <c r="F10" t="n">
        <v>900</v>
      </c>
      <c r="G10" t="n">
        <v>900</v>
      </c>
      <c r="H10" t="n">
        <v>0</v>
      </c>
      <c r="I10" t="n">
        <v>1</v>
      </c>
      <c r="J10">
        <f>G10-F10</f>
        <v/>
      </c>
    </row>
    <row r="11">
      <c r="A11" t="n">
        <v>10</v>
      </c>
      <c r="B11" t="n">
        <v>102</v>
      </c>
      <c r="C11" t="inlineStr">
        <is>
          <t>Suda Panyawong</t>
        </is>
      </c>
      <c r="D11" t="inlineStr">
        <is>
          <t>Shopee SPayLater</t>
        </is>
      </c>
      <c r="E11" s="20" t="n">
        <v>46122</v>
      </c>
      <c r="F11" t="n">
        <v>2000</v>
      </c>
      <c r="G11" t="n">
        <v>2000</v>
      </c>
      <c r="H11" t="n">
        <v>0</v>
      </c>
      <c r="I11" t="n">
        <v>2</v>
      </c>
      <c r="J11">
        <f>G11-F11</f>
        <v/>
      </c>
    </row>
    <row r="12">
      <c r="A12" t="n">
        <v>11</v>
      </c>
      <c r="B12" t="n">
        <v>102</v>
      </c>
      <c r="C12" t="inlineStr">
        <is>
          <t>Suda Panyawong</t>
        </is>
      </c>
      <c r="D12" t="inlineStr">
        <is>
          <t>LazPayLater</t>
        </is>
      </c>
      <c r="E12" s="20" t="n">
        <v>46124</v>
      </c>
      <c r="F12" t="n">
        <v>1500</v>
      </c>
      <c r="G12" t="n">
        <v>1500</v>
      </c>
      <c r="H12" t="n">
        <v>0</v>
      </c>
      <c r="I12" t="n">
        <v>2</v>
      </c>
      <c r="J12">
        <f>G12-F12</f>
        <v/>
      </c>
    </row>
    <row r="13">
      <c r="A13" t="n">
        <v>12</v>
      </c>
      <c r="B13" t="n">
        <v>102</v>
      </c>
      <c r="C13" t="inlineStr">
        <is>
          <t>Suda Panyawong</t>
        </is>
      </c>
      <c r="D13" t="inlineStr">
        <is>
          <t>TrueMoney Next</t>
        </is>
      </c>
      <c r="E13" s="20" t="n">
        <v>46126</v>
      </c>
      <c r="F13" t="n">
        <v>900</v>
      </c>
      <c r="G13" t="n">
        <v>900</v>
      </c>
      <c r="H13" t="n">
        <v>0</v>
      </c>
      <c r="I13" t="n">
        <v>2</v>
      </c>
      <c r="J13">
        <f>G13-F13</f>
        <v/>
      </c>
    </row>
    <row r="14">
      <c r="A14" t="n">
        <v>13</v>
      </c>
      <c r="B14" t="n">
        <v>102</v>
      </c>
      <c r="C14" t="inlineStr">
        <is>
          <t>Suda Panyawong</t>
        </is>
      </c>
      <c r="D14" t="inlineStr">
        <is>
          <t>Shopee SPayLater</t>
        </is>
      </c>
      <c r="E14" s="20" t="n">
        <v>46152</v>
      </c>
      <c r="F14" t="n">
        <v>2000</v>
      </c>
      <c r="G14" t="n">
        <v>2300</v>
      </c>
      <c r="H14" t="n">
        <v>15</v>
      </c>
      <c r="I14" t="n">
        <v>3</v>
      </c>
      <c r="J14">
        <f>G14-F14</f>
        <v/>
      </c>
    </row>
    <row r="15">
      <c r="A15" t="n">
        <v>14</v>
      </c>
      <c r="B15" t="n">
        <v>102</v>
      </c>
      <c r="C15" t="inlineStr">
        <is>
          <t>Suda Panyawong</t>
        </is>
      </c>
      <c r="D15" t="inlineStr">
        <is>
          <t>LazPayLater</t>
        </is>
      </c>
      <c r="E15" s="20" t="n">
        <v>46154</v>
      </c>
      <c r="F15" t="n">
        <v>1500</v>
      </c>
      <c r="G15" t="n">
        <v>1650</v>
      </c>
      <c r="H15" t="n">
        <v>14</v>
      </c>
      <c r="I15" t="n">
        <v>3</v>
      </c>
      <c r="J15">
        <f>G15-F15</f>
        <v/>
      </c>
    </row>
    <row r="16">
      <c r="A16" t="n">
        <v>15</v>
      </c>
      <c r="B16" t="n">
        <v>102</v>
      </c>
      <c r="C16" t="inlineStr">
        <is>
          <t>Suda Panyawong</t>
        </is>
      </c>
      <c r="D16" t="inlineStr">
        <is>
          <t>TrueMoney Next</t>
        </is>
      </c>
      <c r="E16" s="20" t="n">
        <v>46156</v>
      </c>
      <c r="F16" t="n">
        <v>900</v>
      </c>
      <c r="G16" t="n">
        <v>900</v>
      </c>
      <c r="H16" t="n">
        <v>0</v>
      </c>
      <c r="I16" t="n">
        <v>3</v>
      </c>
      <c r="J16">
        <f>G16-F16</f>
        <v/>
      </c>
    </row>
    <row r="17">
      <c r="A17" t="n">
        <v>16</v>
      </c>
      <c r="B17" t="n">
        <v>103</v>
      </c>
      <c r="C17" t="inlineStr">
        <is>
          <t>Anan Chaiyaporn</t>
        </is>
      </c>
      <c r="D17" t="inlineStr">
        <is>
          <t>Atome</t>
        </is>
      </c>
      <c r="E17" s="20" t="n">
        <v>46086</v>
      </c>
      <c r="F17" t="n">
        <v>1000</v>
      </c>
      <c r="G17" t="n">
        <v>1000</v>
      </c>
      <c r="H17" t="n">
        <v>0</v>
      </c>
      <c r="I17" t="n">
        <v>1</v>
      </c>
      <c r="J17">
        <f>G17-F17</f>
        <v/>
      </c>
    </row>
    <row r="18">
      <c r="A18" t="n">
        <v>17</v>
      </c>
      <c r="B18" t="n">
        <v>103</v>
      </c>
      <c r="C18" t="inlineStr">
        <is>
          <t>Anan Chaiyaporn</t>
        </is>
      </c>
      <c r="D18" t="inlineStr">
        <is>
          <t>Grab PayLater</t>
        </is>
      </c>
      <c r="E18" s="20" t="n">
        <v>46089</v>
      </c>
      <c r="F18" t="n">
        <v>600</v>
      </c>
      <c r="G18" t="n">
        <v>600</v>
      </c>
      <c r="H18" t="n">
        <v>0</v>
      </c>
      <c r="I18" t="n">
        <v>1</v>
      </c>
      <c r="J18">
        <f>G18-F18</f>
        <v/>
      </c>
    </row>
    <row r="19">
      <c r="A19" t="n">
        <v>18</v>
      </c>
      <c r="B19" t="n">
        <v>103</v>
      </c>
      <c r="C19" t="inlineStr">
        <is>
          <t>Anan Chaiyaporn</t>
        </is>
      </c>
      <c r="D19" t="inlineStr">
        <is>
          <t>Atome</t>
        </is>
      </c>
      <c r="E19" s="20" t="n">
        <v>46117</v>
      </c>
      <c r="F19" t="n">
        <v>1000</v>
      </c>
      <c r="G19" t="n">
        <v>1000</v>
      </c>
      <c r="H19" t="n">
        <v>0</v>
      </c>
      <c r="I19" t="n">
        <v>2</v>
      </c>
      <c r="J19">
        <f>G19-F19</f>
        <v/>
      </c>
    </row>
    <row r="20">
      <c r="A20" t="n">
        <v>19</v>
      </c>
      <c r="B20" t="n">
        <v>103</v>
      </c>
      <c r="C20" t="inlineStr">
        <is>
          <t>Anan Chaiyaporn</t>
        </is>
      </c>
      <c r="D20" t="inlineStr">
        <is>
          <t>Grab PayLater</t>
        </is>
      </c>
      <c r="E20" s="20" t="n">
        <v>46120</v>
      </c>
      <c r="F20" t="n">
        <v>600</v>
      </c>
      <c r="G20" t="n">
        <v>600</v>
      </c>
      <c r="H20" t="n">
        <v>0</v>
      </c>
      <c r="I20" t="n">
        <v>2</v>
      </c>
      <c r="J20">
        <f>G20-F20</f>
        <v/>
      </c>
    </row>
    <row r="21">
      <c r="A21" t="n">
        <v>20</v>
      </c>
      <c r="B21" t="n">
        <v>103</v>
      </c>
      <c r="C21" t="inlineStr">
        <is>
          <t>Anan Chaiyaporn</t>
        </is>
      </c>
      <c r="D21" t="inlineStr">
        <is>
          <t>Atome</t>
        </is>
      </c>
      <c r="E21" s="20" t="n">
        <v>46147</v>
      </c>
      <c r="F21" t="n">
        <v>1000</v>
      </c>
      <c r="G21" t="n">
        <v>1000</v>
      </c>
      <c r="H21" t="n">
        <v>0</v>
      </c>
      <c r="I21" t="n">
        <v>3</v>
      </c>
      <c r="J21">
        <f>G21-F21</f>
        <v/>
      </c>
    </row>
    <row r="22">
      <c r="A22" t="n">
        <v>21</v>
      </c>
      <c r="B22" t="n">
        <v>103</v>
      </c>
      <c r="C22" t="inlineStr">
        <is>
          <t>Anan Chaiyaporn</t>
        </is>
      </c>
      <c r="D22" t="inlineStr">
        <is>
          <t>Grab PayLater</t>
        </is>
      </c>
      <c r="E22" s="20" t="n">
        <v>46150</v>
      </c>
      <c r="F22" t="n">
        <v>600</v>
      </c>
      <c r="G22" t="n">
        <v>730</v>
      </c>
      <c r="H22" t="n">
        <v>11</v>
      </c>
      <c r="I22" t="n">
        <v>3</v>
      </c>
      <c r="J22">
        <f>G22-F22</f>
        <v/>
      </c>
    </row>
    <row r="23">
      <c r="A23" t="n">
        <v>22</v>
      </c>
      <c r="B23" t="n">
        <v>104</v>
      </c>
      <c r="C23" t="inlineStr">
        <is>
          <t>Nittaya Wongsawat</t>
        </is>
      </c>
      <c r="D23" t="inlineStr">
        <is>
          <t>Shopee SPayLater</t>
        </is>
      </c>
      <c r="E23" s="20" t="n">
        <v>46101</v>
      </c>
      <c r="F23" t="n">
        <v>1800</v>
      </c>
      <c r="G23" t="n">
        <v>1800</v>
      </c>
      <c r="H23" t="n">
        <v>0</v>
      </c>
      <c r="I23" t="n">
        <v>1</v>
      </c>
      <c r="J23">
        <f>G23-F23</f>
        <v/>
      </c>
    </row>
    <row r="24">
      <c r="A24" t="n">
        <v>23</v>
      </c>
      <c r="B24" t="n">
        <v>104</v>
      </c>
      <c r="C24" t="inlineStr">
        <is>
          <t>Nittaya Wongsawat</t>
        </is>
      </c>
      <c r="D24" t="inlineStr">
        <is>
          <t>TrueMoney Next</t>
        </is>
      </c>
      <c r="E24" s="20" t="n">
        <v>46103</v>
      </c>
      <c r="F24" t="n">
        <v>1100</v>
      </c>
      <c r="G24" t="n">
        <v>1100</v>
      </c>
      <c r="H24" t="n">
        <v>0</v>
      </c>
      <c r="I24" t="n">
        <v>1</v>
      </c>
      <c r="J24">
        <f>G24-F24</f>
        <v/>
      </c>
    </row>
    <row r="25">
      <c r="A25" t="n">
        <v>24</v>
      </c>
      <c r="B25" t="n">
        <v>104</v>
      </c>
      <c r="C25" t="inlineStr">
        <is>
          <t>Nittaya Wongsawat</t>
        </is>
      </c>
      <c r="D25" t="inlineStr">
        <is>
          <t>Shopee SPayLater</t>
        </is>
      </c>
      <c r="E25" s="20" t="n">
        <v>46132</v>
      </c>
      <c r="F25" t="n">
        <v>1800</v>
      </c>
      <c r="G25" t="n">
        <v>1800</v>
      </c>
      <c r="H25" t="n">
        <v>0</v>
      </c>
      <c r="I25" t="n">
        <v>2</v>
      </c>
      <c r="J25">
        <f>G25-F25</f>
        <v/>
      </c>
    </row>
    <row r="26">
      <c r="A26" t="n">
        <v>25</v>
      </c>
      <c r="B26" t="n">
        <v>104</v>
      </c>
      <c r="C26" t="inlineStr">
        <is>
          <t>Nittaya Wongsawat</t>
        </is>
      </c>
      <c r="D26" t="inlineStr">
        <is>
          <t>TrueMoney Next</t>
        </is>
      </c>
      <c r="E26" s="20" t="n">
        <v>46134</v>
      </c>
      <c r="F26" t="n">
        <v>1100</v>
      </c>
      <c r="G26" t="n">
        <v>1100</v>
      </c>
      <c r="H26" t="n">
        <v>0</v>
      </c>
      <c r="I26" t="n">
        <v>2</v>
      </c>
      <c r="J26">
        <f>G26-F26</f>
        <v/>
      </c>
    </row>
    <row r="27">
      <c r="A27" t="n">
        <v>26</v>
      </c>
      <c r="B27" t="n">
        <v>104</v>
      </c>
      <c r="C27" t="inlineStr">
        <is>
          <t>Nittaya Wongsawat</t>
        </is>
      </c>
      <c r="D27" t="inlineStr">
        <is>
          <t>Shopee SPayLater</t>
        </is>
      </c>
      <c r="E27" s="20" t="n">
        <v>46162</v>
      </c>
      <c r="F27" t="n">
        <v>1800</v>
      </c>
      <c r="G27" t="n">
        <v>2070</v>
      </c>
      <c r="H27" t="n">
        <v>9</v>
      </c>
      <c r="I27" t="n">
        <v>3</v>
      </c>
      <c r="J27">
        <f>G27-F27</f>
        <v/>
      </c>
    </row>
    <row r="28">
      <c r="A28" t="n">
        <v>27</v>
      </c>
      <c r="B28" t="n">
        <v>104</v>
      </c>
      <c r="C28" t="inlineStr">
        <is>
          <t>Nittaya Wongsawat</t>
        </is>
      </c>
      <c r="D28" t="inlineStr">
        <is>
          <t>TrueMoney Next</t>
        </is>
      </c>
      <c r="E28" s="20" t="n">
        <v>46164</v>
      </c>
      <c r="F28" t="n">
        <v>1100</v>
      </c>
      <c r="G28" t="n">
        <v>1265</v>
      </c>
      <c r="H28" t="n">
        <v>8</v>
      </c>
      <c r="I28" t="n">
        <v>3</v>
      </c>
      <c r="J28">
        <f>G28-F28</f>
        <v/>
      </c>
    </row>
    <row r="29">
      <c r="A29" t="n">
        <v>28</v>
      </c>
      <c r="B29" t="n">
        <v>105</v>
      </c>
      <c r="C29" t="inlineStr">
        <is>
          <t>Kittipong Srisuk</t>
        </is>
      </c>
      <c r="D29" t="inlineStr">
        <is>
          <t>Atome</t>
        </is>
      </c>
      <c r="E29" s="20" t="n">
        <v>46092</v>
      </c>
      <c r="F29" t="n">
        <v>900</v>
      </c>
      <c r="G29" t="n">
        <v>900</v>
      </c>
      <c r="H29" t="n">
        <v>0</v>
      </c>
      <c r="I29" t="n">
        <v>1</v>
      </c>
      <c r="J29">
        <f>G29-F29</f>
        <v/>
      </c>
    </row>
    <row r="30">
      <c r="A30" t="n">
        <v>29</v>
      </c>
      <c r="B30" t="n">
        <v>105</v>
      </c>
      <c r="C30" t="inlineStr">
        <is>
          <t>Kittipong Srisuk</t>
        </is>
      </c>
      <c r="D30" t="inlineStr">
        <is>
          <t>LazPayLater</t>
        </is>
      </c>
      <c r="E30" s="20" t="n">
        <v>46094</v>
      </c>
      <c r="F30" t="n">
        <v>700</v>
      </c>
      <c r="G30" t="n">
        <v>700</v>
      </c>
      <c r="H30" t="n">
        <v>0</v>
      </c>
      <c r="I30" t="n">
        <v>1</v>
      </c>
      <c r="J30">
        <f>G30-F30</f>
        <v/>
      </c>
    </row>
    <row r="31">
      <c r="A31" t="n">
        <v>30</v>
      </c>
      <c r="B31" t="n">
        <v>105</v>
      </c>
      <c r="C31" t="inlineStr">
        <is>
          <t>Kittipong Srisuk</t>
        </is>
      </c>
      <c r="D31" t="inlineStr">
        <is>
          <t>Atome</t>
        </is>
      </c>
      <c r="E31" s="20" t="n">
        <v>46123</v>
      </c>
      <c r="F31" t="n">
        <v>900</v>
      </c>
      <c r="G31" t="n">
        <v>900</v>
      </c>
      <c r="H31" t="n">
        <v>0</v>
      </c>
      <c r="I31" t="n">
        <v>2</v>
      </c>
      <c r="J31">
        <f>G31-F31</f>
        <v/>
      </c>
    </row>
    <row r="32">
      <c r="A32" t="n">
        <v>31</v>
      </c>
      <c r="B32" t="n">
        <v>105</v>
      </c>
      <c r="C32" t="inlineStr">
        <is>
          <t>Kittipong Srisuk</t>
        </is>
      </c>
      <c r="D32" t="inlineStr">
        <is>
          <t>LazPayLater</t>
        </is>
      </c>
      <c r="E32" s="20" t="n">
        <v>46125</v>
      </c>
      <c r="F32" t="n">
        <v>700</v>
      </c>
      <c r="G32" t="n">
        <v>700</v>
      </c>
      <c r="H32" t="n">
        <v>0</v>
      </c>
      <c r="I32" t="n">
        <v>2</v>
      </c>
      <c r="J32">
        <f>G32-F32</f>
        <v/>
      </c>
    </row>
    <row r="33">
      <c r="A33" t="n">
        <v>32</v>
      </c>
      <c r="B33" t="n">
        <v>105</v>
      </c>
      <c r="C33" t="inlineStr">
        <is>
          <t>Kittipong Srisuk</t>
        </is>
      </c>
      <c r="D33" t="inlineStr">
        <is>
          <t>Atome</t>
        </is>
      </c>
      <c r="E33" s="20" t="n">
        <v>46153</v>
      </c>
      <c r="F33" t="n">
        <v>900</v>
      </c>
      <c r="G33" t="n">
        <v>900</v>
      </c>
      <c r="H33" t="n">
        <v>0</v>
      </c>
      <c r="I33" t="n">
        <v>3</v>
      </c>
      <c r="J33">
        <f>G33-F33</f>
        <v/>
      </c>
    </row>
    <row r="34">
      <c r="A34" t="n">
        <v>33</v>
      </c>
      <c r="B34" t="n">
        <v>105</v>
      </c>
      <c r="C34" t="inlineStr">
        <is>
          <t>Kittipong Srisuk</t>
        </is>
      </c>
      <c r="D34" t="inlineStr">
        <is>
          <t>LazPayLater</t>
        </is>
      </c>
      <c r="E34" s="20" t="n">
        <v>46155</v>
      </c>
      <c r="F34" t="n">
        <v>700</v>
      </c>
      <c r="G34" t="n">
        <v>700</v>
      </c>
      <c r="H34" t="n">
        <v>0</v>
      </c>
      <c r="I34" t="n">
        <v>3</v>
      </c>
      <c r="J34">
        <f>G34-F34</f>
        <v/>
      </c>
    </row>
    <row r="35">
      <c r="A35" t="n">
        <v>34</v>
      </c>
      <c r="B35" t="n">
        <v>106</v>
      </c>
      <c r="C35" t="inlineStr">
        <is>
          <t>Wanida Boonmee</t>
        </is>
      </c>
      <c r="D35" t="inlineStr">
        <is>
          <t>Shopee SPayLater</t>
        </is>
      </c>
      <c r="E35" s="20" t="n">
        <v>46088</v>
      </c>
      <c r="F35" t="n">
        <v>1300</v>
      </c>
      <c r="G35" t="n">
        <v>1300</v>
      </c>
      <c r="H35" t="n">
        <v>0</v>
      </c>
      <c r="I35" t="n">
        <v>1</v>
      </c>
      <c r="J35">
        <f>G35-F35</f>
        <v/>
      </c>
    </row>
    <row r="36">
      <c r="A36" t="n">
        <v>35</v>
      </c>
      <c r="B36" t="n">
        <v>106</v>
      </c>
      <c r="C36" t="inlineStr">
        <is>
          <t>Wanida Boonmee</t>
        </is>
      </c>
      <c r="D36" t="inlineStr">
        <is>
          <t>Grab PayLater</t>
        </is>
      </c>
      <c r="E36" s="20" t="n">
        <v>46090</v>
      </c>
      <c r="F36" t="n">
        <v>500</v>
      </c>
      <c r="G36" t="n">
        <v>500</v>
      </c>
      <c r="H36" t="n">
        <v>0</v>
      </c>
      <c r="I36" t="n">
        <v>1</v>
      </c>
      <c r="J36">
        <f>G36-F36</f>
        <v/>
      </c>
    </row>
    <row r="37">
      <c r="A37" t="n">
        <v>36</v>
      </c>
      <c r="B37" t="n">
        <v>106</v>
      </c>
      <c r="C37" t="inlineStr">
        <is>
          <t>Wanida Boonmee</t>
        </is>
      </c>
      <c r="D37" t="inlineStr">
        <is>
          <t>Shopee SPayLater</t>
        </is>
      </c>
      <c r="E37" s="20" t="n">
        <v>46119</v>
      </c>
      <c r="F37" t="n">
        <v>1300</v>
      </c>
      <c r="G37" t="n">
        <v>1300</v>
      </c>
      <c r="H37" t="n">
        <v>0</v>
      </c>
      <c r="I37" t="n">
        <v>2</v>
      </c>
      <c r="J37">
        <f>G37-F37</f>
        <v/>
      </c>
    </row>
    <row r="38">
      <c r="A38" t="n">
        <v>37</v>
      </c>
      <c r="B38" t="n">
        <v>106</v>
      </c>
      <c r="C38" t="inlineStr">
        <is>
          <t>Wanida Boonmee</t>
        </is>
      </c>
      <c r="D38" t="inlineStr">
        <is>
          <t>Grab PayLater</t>
        </is>
      </c>
      <c r="E38" s="20" t="n">
        <v>46121</v>
      </c>
      <c r="F38" t="n">
        <v>500</v>
      </c>
      <c r="G38" t="n">
        <v>500</v>
      </c>
      <c r="H38" t="n">
        <v>0</v>
      </c>
      <c r="I38" t="n">
        <v>2</v>
      </c>
      <c r="J38">
        <f>G38-F38</f>
        <v/>
      </c>
    </row>
    <row r="39">
      <c r="A39" t="n">
        <v>38</v>
      </c>
      <c r="B39" t="n">
        <v>106</v>
      </c>
      <c r="C39" t="inlineStr">
        <is>
          <t>Wanida Boonmee</t>
        </is>
      </c>
      <c r="D39" t="inlineStr">
        <is>
          <t>Shopee SPayLater</t>
        </is>
      </c>
      <c r="E39" s="20" t="n">
        <v>46149</v>
      </c>
      <c r="F39" t="n">
        <v>1300</v>
      </c>
      <c r="G39" t="n">
        <v>1300</v>
      </c>
      <c r="H39" t="n">
        <v>0</v>
      </c>
      <c r="I39" t="n">
        <v>3</v>
      </c>
      <c r="J39">
        <f>G39-F39</f>
        <v/>
      </c>
    </row>
    <row r="40">
      <c r="A40" t="n">
        <v>39</v>
      </c>
      <c r="B40" t="n">
        <v>106</v>
      </c>
      <c r="C40" t="inlineStr">
        <is>
          <t>Wanida Boonmee</t>
        </is>
      </c>
      <c r="D40" t="inlineStr">
        <is>
          <t>Grab PayLater</t>
        </is>
      </c>
      <c r="E40" s="20" t="n">
        <v>46151</v>
      </c>
      <c r="F40" t="n">
        <v>500</v>
      </c>
      <c r="G40" t="n">
        <v>500</v>
      </c>
      <c r="H40" t="n">
        <v>0</v>
      </c>
      <c r="I40" t="n">
        <v>3</v>
      </c>
      <c r="J40">
        <f>G40-F40</f>
        <v/>
      </c>
    </row>
    <row r="41">
      <c r="A41" t="n">
        <v>40</v>
      </c>
      <c r="B41" t="n">
        <v>107</v>
      </c>
      <c r="C41" t="inlineStr">
        <is>
          <t>Prasert Rattanakul</t>
        </is>
      </c>
      <c r="D41" t="inlineStr">
        <is>
          <t>Atome</t>
        </is>
      </c>
      <c r="E41" s="20" t="n">
        <v>46097</v>
      </c>
      <c r="F41" t="n">
        <v>2500</v>
      </c>
      <c r="G41" t="n">
        <v>2500</v>
      </c>
      <c r="H41" t="n">
        <v>0</v>
      </c>
      <c r="I41" t="n">
        <v>1</v>
      </c>
      <c r="J41">
        <f>G41-F41</f>
        <v/>
      </c>
    </row>
    <row r="42">
      <c r="A42" t="n">
        <v>41</v>
      </c>
      <c r="B42" t="n">
        <v>107</v>
      </c>
      <c r="C42" t="inlineStr">
        <is>
          <t>Prasert Rattanakul</t>
        </is>
      </c>
      <c r="D42" t="inlineStr">
        <is>
          <t>Shopee SPayLater</t>
        </is>
      </c>
      <c r="E42" s="20" t="n">
        <v>46098</v>
      </c>
      <c r="F42" t="n">
        <v>1800</v>
      </c>
      <c r="G42" t="n">
        <v>1800</v>
      </c>
      <c r="H42" t="n">
        <v>0</v>
      </c>
      <c r="I42" t="n">
        <v>1</v>
      </c>
      <c r="J42">
        <f>G42-F42</f>
        <v/>
      </c>
    </row>
    <row r="43">
      <c r="A43" t="n">
        <v>42</v>
      </c>
      <c r="B43" t="n">
        <v>107</v>
      </c>
      <c r="C43" t="inlineStr">
        <is>
          <t>Prasert Rattanakul</t>
        </is>
      </c>
      <c r="D43" t="inlineStr">
        <is>
          <t>TrueMoney Next</t>
        </is>
      </c>
      <c r="E43" s="20" t="n">
        <v>46100</v>
      </c>
      <c r="F43" t="n">
        <v>1200</v>
      </c>
      <c r="G43" t="n">
        <v>1200</v>
      </c>
      <c r="H43" t="n">
        <v>0</v>
      </c>
      <c r="I43" t="n">
        <v>1</v>
      </c>
      <c r="J43">
        <f>G43-F43</f>
        <v/>
      </c>
    </row>
    <row r="44">
      <c r="A44" t="n">
        <v>43</v>
      </c>
      <c r="B44" t="n">
        <v>107</v>
      </c>
      <c r="C44" t="inlineStr">
        <is>
          <t>Prasert Rattanakul</t>
        </is>
      </c>
      <c r="D44" t="inlineStr">
        <is>
          <t>Atome</t>
        </is>
      </c>
      <c r="E44" s="20" t="n">
        <v>46128</v>
      </c>
      <c r="F44" t="n">
        <v>2500</v>
      </c>
      <c r="G44" t="n">
        <v>2500</v>
      </c>
      <c r="H44" t="n">
        <v>0</v>
      </c>
      <c r="I44" t="n">
        <v>2</v>
      </c>
      <c r="J44">
        <f>G44-F44</f>
        <v/>
      </c>
    </row>
    <row r="45">
      <c r="A45" t="n">
        <v>44</v>
      </c>
      <c r="B45" t="n">
        <v>107</v>
      </c>
      <c r="C45" t="inlineStr">
        <is>
          <t>Prasert Rattanakul</t>
        </is>
      </c>
      <c r="D45" t="inlineStr">
        <is>
          <t>Shopee SPayLater</t>
        </is>
      </c>
      <c r="E45" s="20" t="n">
        <v>46129</v>
      </c>
      <c r="F45" t="n">
        <v>1800</v>
      </c>
      <c r="G45" t="n">
        <v>1800</v>
      </c>
      <c r="H45" t="n">
        <v>0</v>
      </c>
      <c r="I45" t="n">
        <v>2</v>
      </c>
      <c r="J45">
        <f>G45-F45</f>
        <v/>
      </c>
    </row>
    <row r="46">
      <c r="A46" t="n">
        <v>45</v>
      </c>
      <c r="B46" t="n">
        <v>107</v>
      </c>
      <c r="C46" t="inlineStr">
        <is>
          <t>Prasert Rattanakul</t>
        </is>
      </c>
      <c r="D46" t="inlineStr">
        <is>
          <t>TrueMoney Next</t>
        </is>
      </c>
      <c r="E46" s="20" t="n">
        <v>46131</v>
      </c>
      <c r="F46" t="n">
        <v>1200</v>
      </c>
      <c r="G46" t="n">
        <v>1200</v>
      </c>
      <c r="H46" t="n">
        <v>0</v>
      </c>
      <c r="I46" t="n">
        <v>2</v>
      </c>
      <c r="J46">
        <f>G46-F46</f>
        <v/>
      </c>
    </row>
    <row r="47">
      <c r="A47" t="n">
        <v>46</v>
      </c>
      <c r="B47" t="n">
        <v>107</v>
      </c>
      <c r="C47" t="inlineStr">
        <is>
          <t>Prasert Rattanakul</t>
        </is>
      </c>
      <c r="D47" t="inlineStr">
        <is>
          <t>Atome</t>
        </is>
      </c>
      <c r="E47" s="20" t="n">
        <v>46158</v>
      </c>
      <c r="F47" t="n">
        <v>2500</v>
      </c>
      <c r="G47" t="n">
        <v>2500</v>
      </c>
      <c r="H47" t="n">
        <v>0</v>
      </c>
      <c r="I47" t="n">
        <v>3</v>
      </c>
      <c r="J47">
        <f>G47-F47</f>
        <v/>
      </c>
    </row>
    <row r="48">
      <c r="A48" t="n">
        <v>47</v>
      </c>
      <c r="B48" t="n">
        <v>107</v>
      </c>
      <c r="C48" t="inlineStr">
        <is>
          <t>Prasert Rattanakul</t>
        </is>
      </c>
      <c r="D48" t="inlineStr">
        <is>
          <t>Shopee SPayLater</t>
        </is>
      </c>
      <c r="E48" s="20" t="n">
        <v>46159</v>
      </c>
      <c r="F48" t="n">
        <v>1800</v>
      </c>
      <c r="G48" t="n">
        <v>1800</v>
      </c>
      <c r="H48" t="n">
        <v>0</v>
      </c>
      <c r="I48" t="n">
        <v>3</v>
      </c>
      <c r="J48">
        <f>G48-F48</f>
        <v/>
      </c>
    </row>
    <row r="49">
      <c r="A49" t="n">
        <v>48</v>
      </c>
      <c r="B49" t="n">
        <v>107</v>
      </c>
      <c r="C49" t="inlineStr">
        <is>
          <t>Prasert Rattanakul</t>
        </is>
      </c>
      <c r="D49" t="inlineStr">
        <is>
          <t>TrueMoney Next</t>
        </is>
      </c>
      <c r="E49" s="20" t="n">
        <v>46161</v>
      </c>
      <c r="F49" t="n">
        <v>1200</v>
      </c>
      <c r="G49" t="n">
        <v>1200</v>
      </c>
      <c r="H49" t="n">
        <v>0</v>
      </c>
      <c r="I49" t="n">
        <v>3</v>
      </c>
      <c r="J49">
        <f>G49-F49</f>
        <v/>
      </c>
    </row>
    <row r="50">
      <c r="A50" t="n">
        <v>49</v>
      </c>
      <c r="B50" t="n">
        <v>108</v>
      </c>
      <c r="C50" t="inlineStr">
        <is>
          <t>Malee Thongdee</t>
        </is>
      </c>
      <c r="D50" t="inlineStr">
        <is>
          <t>Shopee SPayLater</t>
        </is>
      </c>
      <c r="E50" s="20" t="n">
        <v>46085</v>
      </c>
      <c r="F50" t="n">
        <v>950</v>
      </c>
      <c r="G50" t="n">
        <v>950</v>
      </c>
      <c r="H50" t="n">
        <v>0</v>
      </c>
      <c r="I50" t="n">
        <v>1</v>
      </c>
      <c r="J50">
        <f>G50-F50</f>
        <v/>
      </c>
    </row>
    <row r="51">
      <c r="A51" t="n">
        <v>50</v>
      </c>
      <c r="B51" t="n">
        <v>108</v>
      </c>
      <c r="C51" t="inlineStr">
        <is>
          <t>Malee Thongdee</t>
        </is>
      </c>
      <c r="D51" t="inlineStr">
        <is>
          <t>Atome</t>
        </is>
      </c>
      <c r="E51" s="20" t="n">
        <v>46087</v>
      </c>
      <c r="F51" t="n">
        <v>650</v>
      </c>
      <c r="G51" t="n">
        <v>650</v>
      </c>
      <c r="H51" t="n">
        <v>0</v>
      </c>
      <c r="I51" t="n">
        <v>1</v>
      </c>
      <c r="J51">
        <f>G51-F51</f>
        <v/>
      </c>
    </row>
    <row r="52">
      <c r="A52" t="n">
        <v>51</v>
      </c>
      <c r="B52" t="n">
        <v>108</v>
      </c>
      <c r="C52" t="inlineStr">
        <is>
          <t>Malee Thongdee</t>
        </is>
      </c>
      <c r="D52" t="inlineStr">
        <is>
          <t>Shopee SPayLater</t>
        </is>
      </c>
      <c r="E52" s="20" t="n">
        <v>46116</v>
      </c>
      <c r="F52" t="n">
        <v>950</v>
      </c>
      <c r="G52" t="n">
        <v>950</v>
      </c>
      <c r="H52" t="n">
        <v>0</v>
      </c>
      <c r="I52" t="n">
        <v>2</v>
      </c>
      <c r="J52">
        <f>G52-F52</f>
        <v/>
      </c>
    </row>
    <row r="53">
      <c r="A53" t="n">
        <v>52</v>
      </c>
      <c r="B53" t="n">
        <v>108</v>
      </c>
      <c r="C53" t="inlineStr">
        <is>
          <t>Malee Thongdee</t>
        </is>
      </c>
      <c r="D53" t="inlineStr">
        <is>
          <t>Atome</t>
        </is>
      </c>
      <c r="E53" s="20" t="n">
        <v>46118</v>
      </c>
      <c r="F53" t="n">
        <v>650</v>
      </c>
      <c r="G53" t="n">
        <v>650</v>
      </c>
      <c r="H53" t="n">
        <v>0</v>
      </c>
      <c r="I53" t="n">
        <v>2</v>
      </c>
      <c r="J53">
        <f>G53-F53</f>
        <v/>
      </c>
    </row>
    <row r="54">
      <c r="A54" t="n">
        <v>53</v>
      </c>
      <c r="B54" t="n">
        <v>108</v>
      </c>
      <c r="C54" t="inlineStr">
        <is>
          <t>Malee Thongdee</t>
        </is>
      </c>
      <c r="D54" t="inlineStr">
        <is>
          <t>Shopee SPayLater</t>
        </is>
      </c>
      <c r="E54" s="20" t="n">
        <v>46146</v>
      </c>
      <c r="F54" t="n">
        <v>950</v>
      </c>
      <c r="G54" t="n">
        <v>950</v>
      </c>
      <c r="H54" t="n">
        <v>0</v>
      </c>
      <c r="I54" t="n">
        <v>3</v>
      </c>
      <c r="J54">
        <f>G54-F54</f>
        <v/>
      </c>
    </row>
    <row r="55">
      <c r="A55" t="n">
        <v>54</v>
      </c>
      <c r="B55" t="n">
        <v>108</v>
      </c>
      <c r="C55" t="inlineStr">
        <is>
          <t>Malee Thongdee</t>
        </is>
      </c>
      <c r="D55" t="inlineStr">
        <is>
          <t>Atome</t>
        </is>
      </c>
      <c r="E55" s="20" t="n">
        <v>46148</v>
      </c>
      <c r="F55" t="n">
        <v>650</v>
      </c>
      <c r="G55" t="n">
        <v>650</v>
      </c>
      <c r="H55" t="n">
        <v>0</v>
      </c>
      <c r="I55" t="n">
        <v>3</v>
      </c>
      <c r="J55">
        <f>G55-F55</f>
        <v/>
      </c>
    </row>
    <row r="56">
      <c r="A56" t="n">
        <v>55</v>
      </c>
      <c r="B56" t="n">
        <v>109</v>
      </c>
      <c r="C56" t="inlineStr">
        <is>
          <t>Chatchai Kiatkamon</t>
        </is>
      </c>
      <c r="D56" t="inlineStr">
        <is>
          <t>Shopee SPayLater</t>
        </is>
      </c>
      <c r="E56" s="20" t="n">
        <v>46102</v>
      </c>
      <c r="F56" t="n">
        <v>700</v>
      </c>
      <c r="G56" t="n">
        <v>700</v>
      </c>
      <c r="H56" t="n">
        <v>0</v>
      </c>
      <c r="I56" t="n">
        <v>1</v>
      </c>
      <c r="J56">
        <f>G56-F56</f>
        <v/>
      </c>
    </row>
    <row r="57">
      <c r="A57" t="n">
        <v>56</v>
      </c>
      <c r="B57" t="n">
        <v>109</v>
      </c>
      <c r="C57" t="inlineStr">
        <is>
          <t>Chatchai Kiatkamon</t>
        </is>
      </c>
      <c r="D57" t="inlineStr">
        <is>
          <t>Shopee SPayLater</t>
        </is>
      </c>
      <c r="E57" s="20" t="n">
        <v>46133</v>
      </c>
      <c r="F57" t="n">
        <v>700</v>
      </c>
      <c r="G57" t="n">
        <v>700</v>
      </c>
      <c r="H57" t="n">
        <v>0</v>
      </c>
      <c r="I57" t="n">
        <v>2</v>
      </c>
      <c r="J57">
        <f>G57-F57</f>
        <v/>
      </c>
    </row>
    <row r="58">
      <c r="A58" t="n">
        <v>57</v>
      </c>
      <c r="B58" t="n">
        <v>109</v>
      </c>
      <c r="C58" t="inlineStr">
        <is>
          <t>Chatchai Kiatkamon</t>
        </is>
      </c>
      <c r="D58" t="inlineStr">
        <is>
          <t>Shopee SPayLater</t>
        </is>
      </c>
      <c r="E58" s="20" t="n">
        <v>46163</v>
      </c>
      <c r="F58" t="n">
        <v>700</v>
      </c>
      <c r="G58" t="n">
        <v>700</v>
      </c>
      <c r="H58" t="n">
        <v>0</v>
      </c>
      <c r="I58" t="n">
        <v>3</v>
      </c>
      <c r="J58">
        <f>G58-F58</f>
        <v/>
      </c>
    </row>
    <row r="59">
      <c r="A59" t="n">
        <v>58</v>
      </c>
      <c r="B59" t="n">
        <v>110</v>
      </c>
      <c r="C59" t="inlineStr">
        <is>
          <t>Pornthip Suksawat</t>
        </is>
      </c>
      <c r="D59" t="inlineStr">
        <is>
          <t>Atome</t>
        </is>
      </c>
      <c r="E59" s="20" t="n">
        <v>46104</v>
      </c>
      <c r="F59" t="n">
        <v>500</v>
      </c>
      <c r="G59" t="n">
        <v>500</v>
      </c>
      <c r="H59" t="n">
        <v>0</v>
      </c>
      <c r="I59" t="n">
        <v>1</v>
      </c>
      <c r="J59">
        <f>G59-F59</f>
        <v/>
      </c>
    </row>
    <row r="60">
      <c r="A60" t="n">
        <v>59</v>
      </c>
      <c r="B60" t="n">
        <v>110</v>
      </c>
      <c r="C60" t="inlineStr">
        <is>
          <t>Pornthip Suksawat</t>
        </is>
      </c>
      <c r="D60" t="inlineStr">
        <is>
          <t>Atome</t>
        </is>
      </c>
      <c r="E60" s="20" t="n">
        <v>46135</v>
      </c>
      <c r="F60" t="n">
        <v>500</v>
      </c>
      <c r="G60" t="n">
        <v>500</v>
      </c>
      <c r="H60" t="n">
        <v>0</v>
      </c>
      <c r="I60" t="n">
        <v>2</v>
      </c>
      <c r="J60">
        <f>G60-F60</f>
        <v/>
      </c>
    </row>
    <row r="61">
      <c r="A61" t="n">
        <v>60</v>
      </c>
      <c r="B61" t="n">
        <v>110</v>
      </c>
      <c r="C61" t="inlineStr">
        <is>
          <t>Pornthip Suksawat</t>
        </is>
      </c>
      <c r="D61" t="inlineStr">
        <is>
          <t>Atome</t>
        </is>
      </c>
      <c r="E61" s="20" t="n">
        <v>46165</v>
      </c>
      <c r="F61" t="n">
        <v>500</v>
      </c>
      <c r="G61" t="n">
        <v>500</v>
      </c>
      <c r="H61" t="n">
        <v>0</v>
      </c>
      <c r="I61" t="n">
        <v>3</v>
      </c>
      <c r="J61">
        <f>G61-F61</f>
        <v/>
      </c>
    </row>
    <row r="62">
      <c r="A62" t="n">
        <v>61</v>
      </c>
      <c r="B62" t="n">
        <v>111</v>
      </c>
      <c r="C62" t="inlineStr">
        <is>
          <t>Wichai Amnuayporn</t>
        </is>
      </c>
      <c r="D62" t="inlineStr">
        <is>
          <t>Grab PayLater</t>
        </is>
      </c>
      <c r="E62" s="20" t="n">
        <v>46083</v>
      </c>
      <c r="F62" t="n">
        <v>400</v>
      </c>
      <c r="G62" t="n">
        <v>400</v>
      </c>
      <c r="H62" t="n">
        <v>0</v>
      </c>
      <c r="I62" t="n">
        <v>1</v>
      </c>
      <c r="J62">
        <f>G62-F62</f>
        <v/>
      </c>
    </row>
    <row r="63">
      <c r="A63" t="n">
        <v>62</v>
      </c>
      <c r="B63" t="n">
        <v>111</v>
      </c>
      <c r="C63" t="inlineStr">
        <is>
          <t>Wichai Amnuayporn</t>
        </is>
      </c>
      <c r="D63" t="inlineStr">
        <is>
          <t>Grab PayLater</t>
        </is>
      </c>
      <c r="E63" s="20" t="n">
        <v>46114</v>
      </c>
      <c r="F63" t="n">
        <v>400</v>
      </c>
      <c r="G63" t="n">
        <v>400</v>
      </c>
      <c r="H63" t="n">
        <v>0</v>
      </c>
      <c r="I63" t="n">
        <v>2</v>
      </c>
      <c r="J63">
        <f>G63-F63</f>
        <v/>
      </c>
    </row>
    <row r="64">
      <c r="A64" t="n">
        <v>63</v>
      </c>
      <c r="B64" t="n">
        <v>111</v>
      </c>
      <c r="C64" t="inlineStr">
        <is>
          <t>Wichai Amnuayporn</t>
        </is>
      </c>
      <c r="D64" t="inlineStr">
        <is>
          <t>Grab PayLater</t>
        </is>
      </c>
      <c r="E64" s="20" t="n">
        <v>46144</v>
      </c>
      <c r="F64" t="n">
        <v>400</v>
      </c>
      <c r="G64" t="n">
        <v>400</v>
      </c>
      <c r="H64" t="n">
        <v>0</v>
      </c>
      <c r="I64" t="n">
        <v>3</v>
      </c>
      <c r="J64">
        <f>G64-F64</f>
        <v/>
      </c>
    </row>
    <row r="65">
      <c r="A65" t="n">
        <v>64</v>
      </c>
      <c r="B65" t="n">
        <v>112</v>
      </c>
      <c r="C65" t="inlineStr">
        <is>
          <t>Siriporn Nakornthap</t>
        </is>
      </c>
      <c r="D65" t="inlineStr">
        <is>
          <t>LazPayLater</t>
        </is>
      </c>
      <c r="E65" s="20" t="n">
        <v>46108</v>
      </c>
      <c r="F65" t="n">
        <v>350</v>
      </c>
      <c r="G65" t="n">
        <v>350</v>
      </c>
      <c r="H65" t="n">
        <v>0</v>
      </c>
      <c r="I65" t="n">
        <v>1</v>
      </c>
      <c r="J65">
        <f>G65-F65</f>
        <v/>
      </c>
    </row>
    <row r="66">
      <c r="A66" t="n">
        <v>65</v>
      </c>
      <c r="B66" t="n">
        <v>112</v>
      </c>
      <c r="C66" t="inlineStr">
        <is>
          <t>Siriporn Nakornthap</t>
        </is>
      </c>
      <c r="D66" t="inlineStr">
        <is>
          <t>LazPayLater</t>
        </is>
      </c>
      <c r="E66" s="20" t="n">
        <v>46139</v>
      </c>
      <c r="F66" t="n">
        <v>350</v>
      </c>
      <c r="G66" t="n">
        <v>350</v>
      </c>
      <c r="H66" t="n">
        <v>0</v>
      </c>
      <c r="I66" t="n">
        <v>2</v>
      </c>
      <c r="J66">
        <f>G66-F66</f>
        <v/>
      </c>
    </row>
    <row r="67">
      <c r="A67" t="n">
        <v>66</v>
      </c>
      <c r="B67" t="n">
        <v>112</v>
      </c>
      <c r="C67" t="inlineStr">
        <is>
          <t>Siriporn Nakornthap</t>
        </is>
      </c>
      <c r="D67" t="inlineStr">
        <is>
          <t>LazPayLater</t>
        </is>
      </c>
      <c r="E67" s="20" t="n">
        <v>46169</v>
      </c>
      <c r="F67" t="n">
        <v>350</v>
      </c>
      <c r="G67" t="n">
        <v>350</v>
      </c>
      <c r="H67" t="n">
        <v>0</v>
      </c>
      <c r="I67" t="n">
        <v>3</v>
      </c>
      <c r="J67">
        <f>G67-F67</f>
        <v/>
      </c>
    </row>
    <row r="68">
      <c r="A68" t="n">
        <v>67</v>
      </c>
      <c r="B68" t="n">
        <v>113</v>
      </c>
      <c r="C68" t="inlineStr">
        <is>
          <t>Boonsong Meechai</t>
        </is>
      </c>
      <c r="D68" t="inlineStr">
        <is>
          <t>Shopee SPayLater</t>
        </is>
      </c>
      <c r="E68" s="20" t="n">
        <v>46087</v>
      </c>
      <c r="F68" t="n">
        <v>800</v>
      </c>
      <c r="G68" t="n">
        <v>800</v>
      </c>
      <c r="H68" t="n">
        <v>0</v>
      </c>
      <c r="I68" t="n">
        <v>1</v>
      </c>
      <c r="J68">
        <f>G68-F68</f>
        <v/>
      </c>
    </row>
    <row r="69">
      <c r="A69" t="n">
        <v>68</v>
      </c>
      <c r="B69" t="n">
        <v>113</v>
      </c>
      <c r="C69" t="inlineStr">
        <is>
          <t>Boonsong Meechai</t>
        </is>
      </c>
      <c r="D69" t="inlineStr">
        <is>
          <t>Atome</t>
        </is>
      </c>
      <c r="E69" s="20" t="n">
        <v>46089</v>
      </c>
      <c r="F69" t="n">
        <v>600</v>
      </c>
      <c r="G69" t="n">
        <v>600</v>
      </c>
      <c r="H69" t="n">
        <v>0</v>
      </c>
      <c r="I69" t="n">
        <v>1</v>
      </c>
      <c r="J69">
        <f>G69-F69</f>
        <v/>
      </c>
    </row>
    <row r="70">
      <c r="A70" t="n">
        <v>69</v>
      </c>
      <c r="B70" t="n">
        <v>113</v>
      </c>
      <c r="C70" t="inlineStr">
        <is>
          <t>Boonsong Meechai</t>
        </is>
      </c>
      <c r="D70" t="inlineStr">
        <is>
          <t>Shopee SPayLater</t>
        </is>
      </c>
      <c r="E70" s="20" t="n">
        <v>46118</v>
      </c>
      <c r="F70" t="n">
        <v>800</v>
      </c>
      <c r="G70" t="n">
        <v>800</v>
      </c>
      <c r="H70" t="n">
        <v>0</v>
      </c>
      <c r="I70" t="n">
        <v>2</v>
      </c>
      <c r="J70">
        <f>G70-F70</f>
        <v/>
      </c>
    </row>
    <row r="71">
      <c r="A71" t="n">
        <v>70</v>
      </c>
      <c r="B71" t="n">
        <v>113</v>
      </c>
      <c r="C71" t="inlineStr">
        <is>
          <t>Boonsong Meechai</t>
        </is>
      </c>
      <c r="D71" t="inlineStr">
        <is>
          <t>Atome</t>
        </is>
      </c>
      <c r="E71" s="20" t="n">
        <v>46120</v>
      </c>
      <c r="F71" t="n">
        <v>600</v>
      </c>
      <c r="G71" t="n">
        <v>600</v>
      </c>
      <c r="H71" t="n">
        <v>0</v>
      </c>
      <c r="I71" t="n">
        <v>2</v>
      </c>
      <c r="J71">
        <f>G71-F71</f>
        <v/>
      </c>
    </row>
    <row r="72">
      <c r="A72" t="n">
        <v>71</v>
      </c>
      <c r="B72" t="n">
        <v>113</v>
      </c>
      <c r="C72" t="inlineStr">
        <is>
          <t>Boonsong Meechai</t>
        </is>
      </c>
      <c r="D72" t="inlineStr">
        <is>
          <t>Shopee SPayLater</t>
        </is>
      </c>
      <c r="E72" s="20" t="n">
        <v>46148</v>
      </c>
      <c r="F72" t="n">
        <v>800</v>
      </c>
      <c r="G72" t="n">
        <v>980</v>
      </c>
      <c r="H72" t="n">
        <v>14</v>
      </c>
      <c r="I72" t="n">
        <v>3</v>
      </c>
      <c r="J72">
        <f>G72-F72</f>
        <v/>
      </c>
    </row>
    <row r="73">
      <c r="A73" t="n">
        <v>72</v>
      </c>
      <c r="B73" t="n">
        <v>113</v>
      </c>
      <c r="C73" t="inlineStr">
        <is>
          <t>Boonsong Meechai</t>
        </is>
      </c>
      <c r="D73" t="inlineStr">
        <is>
          <t>Atome</t>
        </is>
      </c>
      <c r="E73" s="20" t="n">
        <v>46150</v>
      </c>
      <c r="F73" t="n">
        <v>600</v>
      </c>
      <c r="G73" t="n">
        <v>735</v>
      </c>
      <c r="H73" t="n">
        <v>13</v>
      </c>
      <c r="I73" t="n">
        <v>3</v>
      </c>
      <c r="J73">
        <f>G73-F73</f>
        <v/>
      </c>
    </row>
    <row r="74">
      <c r="A74" t="n">
        <v>73</v>
      </c>
      <c r="B74" t="n">
        <v>114</v>
      </c>
      <c r="C74" t="inlineStr">
        <is>
          <t>Amporn Silpachai</t>
        </is>
      </c>
      <c r="D74" t="inlineStr">
        <is>
          <t>LazPayLater</t>
        </is>
      </c>
      <c r="E74" s="20" t="n">
        <v>46095</v>
      </c>
      <c r="F74" t="n">
        <v>600</v>
      </c>
      <c r="G74" t="n">
        <v>600</v>
      </c>
      <c r="H74" t="n">
        <v>0</v>
      </c>
      <c r="I74" t="n">
        <v>1</v>
      </c>
      <c r="J74">
        <f>G74-F74</f>
        <v/>
      </c>
    </row>
    <row r="75">
      <c r="A75" t="n">
        <v>74</v>
      </c>
      <c r="B75" t="n">
        <v>114</v>
      </c>
      <c r="C75" t="inlineStr">
        <is>
          <t>Amporn Silpachai</t>
        </is>
      </c>
      <c r="D75" t="inlineStr">
        <is>
          <t>Grab PayLater</t>
        </is>
      </c>
      <c r="E75" s="20" t="n">
        <v>46097</v>
      </c>
      <c r="F75" t="n">
        <v>450</v>
      </c>
      <c r="G75" t="n">
        <v>450</v>
      </c>
      <c r="H75" t="n">
        <v>0</v>
      </c>
      <c r="I75" t="n">
        <v>1</v>
      </c>
      <c r="J75">
        <f>G75-F75</f>
        <v/>
      </c>
    </row>
    <row r="76">
      <c r="A76" t="n">
        <v>75</v>
      </c>
      <c r="B76" t="n">
        <v>114</v>
      </c>
      <c r="C76" t="inlineStr">
        <is>
          <t>Amporn Silpachai</t>
        </is>
      </c>
      <c r="D76" t="inlineStr">
        <is>
          <t>LazPayLater</t>
        </is>
      </c>
      <c r="E76" s="20" t="n">
        <v>46126</v>
      </c>
      <c r="F76" t="n">
        <v>600</v>
      </c>
      <c r="G76" t="n">
        <v>600</v>
      </c>
      <c r="H76" t="n">
        <v>0</v>
      </c>
      <c r="I76" t="n">
        <v>2</v>
      </c>
      <c r="J76">
        <f>G76-F76</f>
        <v/>
      </c>
    </row>
    <row r="77">
      <c r="A77" t="n">
        <v>76</v>
      </c>
      <c r="B77" t="n">
        <v>114</v>
      </c>
      <c r="C77" t="inlineStr">
        <is>
          <t>Amporn Silpachai</t>
        </is>
      </c>
      <c r="D77" t="inlineStr">
        <is>
          <t>Grab PayLater</t>
        </is>
      </c>
      <c r="E77" s="20" t="n">
        <v>46128</v>
      </c>
      <c r="F77" t="n">
        <v>450</v>
      </c>
      <c r="G77" t="n">
        <v>450</v>
      </c>
      <c r="H77" t="n">
        <v>0</v>
      </c>
      <c r="I77" t="n">
        <v>2</v>
      </c>
      <c r="J77">
        <f>G77-F77</f>
        <v/>
      </c>
    </row>
    <row r="78">
      <c r="A78" t="n">
        <v>77</v>
      </c>
      <c r="B78" t="n">
        <v>114</v>
      </c>
      <c r="C78" t="inlineStr">
        <is>
          <t>Amporn Silpachai</t>
        </is>
      </c>
      <c r="D78" t="inlineStr">
        <is>
          <t>LazPayLater</t>
        </is>
      </c>
      <c r="E78" s="20" t="n">
        <v>46156</v>
      </c>
      <c r="F78" t="n">
        <v>600</v>
      </c>
      <c r="G78" t="n">
        <v>735</v>
      </c>
      <c r="H78" t="n">
        <v>11</v>
      </c>
      <c r="I78" t="n">
        <v>3</v>
      </c>
      <c r="J78">
        <f>G78-F78</f>
        <v/>
      </c>
    </row>
    <row r="79">
      <c r="A79" t="n">
        <v>78</v>
      </c>
      <c r="B79" t="n">
        <v>114</v>
      </c>
      <c r="C79" t="inlineStr">
        <is>
          <t>Amporn Silpachai</t>
        </is>
      </c>
      <c r="D79" t="inlineStr">
        <is>
          <t>Grab PayLater</t>
        </is>
      </c>
      <c r="E79" s="20" t="n">
        <v>46158</v>
      </c>
      <c r="F79" t="n">
        <v>450</v>
      </c>
      <c r="G79" t="n">
        <v>550</v>
      </c>
      <c r="H79" t="n">
        <v>10</v>
      </c>
      <c r="I79" t="n">
        <v>3</v>
      </c>
      <c r="J79">
        <f>G79-F79</f>
        <v/>
      </c>
    </row>
    <row r="80">
      <c r="A80" t="n">
        <v>79</v>
      </c>
      <c r="B80" t="n">
        <v>115</v>
      </c>
      <c r="C80" t="inlineStr">
        <is>
          <t>Somsak Pattaraporn</t>
        </is>
      </c>
      <c r="D80" t="inlineStr">
        <is>
          <t>Shopee SPayLater</t>
        </is>
      </c>
      <c r="E80" s="20" t="n">
        <v>46090</v>
      </c>
      <c r="F80" t="n">
        <v>700</v>
      </c>
      <c r="G80" t="n">
        <v>700</v>
      </c>
      <c r="H80" t="n">
        <v>0</v>
      </c>
      <c r="I80" t="n">
        <v>1</v>
      </c>
      <c r="J80">
        <f>G80-F80</f>
        <v/>
      </c>
    </row>
    <row r="81">
      <c r="A81" t="n">
        <v>80</v>
      </c>
      <c r="B81" t="n">
        <v>115</v>
      </c>
      <c r="C81" t="inlineStr">
        <is>
          <t>Somsak Pattaraporn</t>
        </is>
      </c>
      <c r="D81" t="inlineStr">
        <is>
          <t>TrueMoney Next</t>
        </is>
      </c>
      <c r="E81" s="20" t="n">
        <v>46092</v>
      </c>
      <c r="F81" t="n">
        <v>500</v>
      </c>
      <c r="G81" t="n">
        <v>500</v>
      </c>
      <c r="H81" t="n">
        <v>0</v>
      </c>
      <c r="I81" t="n">
        <v>1</v>
      </c>
      <c r="J81">
        <f>G81-F81</f>
        <v/>
      </c>
    </row>
    <row r="82">
      <c r="A82" t="n">
        <v>81</v>
      </c>
      <c r="B82" t="n">
        <v>115</v>
      </c>
      <c r="C82" t="inlineStr">
        <is>
          <t>Somsak Pattaraporn</t>
        </is>
      </c>
      <c r="D82" t="inlineStr">
        <is>
          <t>Shopee SPayLater</t>
        </is>
      </c>
      <c r="E82" s="20" t="n">
        <v>46121</v>
      </c>
      <c r="F82" t="n">
        <v>700</v>
      </c>
      <c r="G82" t="n">
        <v>700</v>
      </c>
      <c r="H82" t="n">
        <v>0</v>
      </c>
      <c r="I82" t="n">
        <v>2</v>
      </c>
      <c r="J82">
        <f>G82-F82</f>
        <v/>
      </c>
    </row>
    <row r="83">
      <c r="A83" t="n">
        <v>82</v>
      </c>
      <c r="B83" t="n">
        <v>115</v>
      </c>
      <c r="C83" t="inlineStr">
        <is>
          <t>Somsak Pattaraporn</t>
        </is>
      </c>
      <c r="D83" t="inlineStr">
        <is>
          <t>TrueMoney Next</t>
        </is>
      </c>
      <c r="E83" s="20" t="n">
        <v>46123</v>
      </c>
      <c r="F83" t="n">
        <v>500</v>
      </c>
      <c r="G83" t="n">
        <v>500</v>
      </c>
      <c r="H83" t="n">
        <v>0</v>
      </c>
      <c r="I83" t="n">
        <v>2</v>
      </c>
      <c r="J83">
        <f>G83-F83</f>
        <v/>
      </c>
    </row>
    <row r="84">
      <c r="A84" t="n">
        <v>83</v>
      </c>
      <c r="B84" t="n">
        <v>115</v>
      </c>
      <c r="C84" t="inlineStr">
        <is>
          <t>Somsak Pattaraporn</t>
        </is>
      </c>
      <c r="D84" t="inlineStr">
        <is>
          <t>Shopee SPayLater</t>
        </is>
      </c>
      <c r="E84" s="20" t="n">
        <v>46151</v>
      </c>
      <c r="F84" t="n">
        <v>700</v>
      </c>
      <c r="G84" t="n">
        <v>875</v>
      </c>
      <c r="H84" t="n">
        <v>15</v>
      </c>
      <c r="I84" t="n">
        <v>3</v>
      </c>
      <c r="J84">
        <f>G84-F84</f>
        <v/>
      </c>
    </row>
    <row r="85">
      <c r="A85" t="n">
        <v>84</v>
      </c>
      <c r="B85" t="n">
        <v>115</v>
      </c>
      <c r="C85" t="inlineStr">
        <is>
          <t>Somsak Pattaraporn</t>
        </is>
      </c>
      <c r="D85" t="inlineStr">
        <is>
          <t>TrueMoney Next</t>
        </is>
      </c>
      <c r="E85" s="20" t="n">
        <v>46153</v>
      </c>
      <c r="F85" t="n">
        <v>500</v>
      </c>
      <c r="G85" t="n">
        <v>615</v>
      </c>
      <c r="H85" t="n">
        <v>14</v>
      </c>
      <c r="I85" t="n">
        <v>3</v>
      </c>
      <c r="J85">
        <f>G85-F85</f>
        <v/>
      </c>
    </row>
    <row r="86">
      <c r="A86" t="n">
        <v>85</v>
      </c>
      <c r="B86" t="n">
        <v>116</v>
      </c>
      <c r="C86" t="inlineStr">
        <is>
          <t>Kanya Ruangrit</t>
        </is>
      </c>
      <c r="D86" t="inlineStr">
        <is>
          <t>Atome</t>
        </is>
      </c>
      <c r="E86" s="20" t="n">
        <v>46094</v>
      </c>
      <c r="F86" t="n">
        <v>550</v>
      </c>
      <c r="G86" t="n">
        <v>550</v>
      </c>
      <c r="H86" t="n">
        <v>0</v>
      </c>
      <c r="I86" t="n">
        <v>1</v>
      </c>
      <c r="J86">
        <f>G86-F86</f>
        <v/>
      </c>
    </row>
    <row r="87">
      <c r="A87" t="n">
        <v>86</v>
      </c>
      <c r="B87" t="n">
        <v>116</v>
      </c>
      <c r="C87" t="inlineStr">
        <is>
          <t>Kanya Ruangrit</t>
        </is>
      </c>
      <c r="D87" t="inlineStr">
        <is>
          <t>Grab PayLater</t>
        </is>
      </c>
      <c r="E87" s="20" t="n">
        <v>46096</v>
      </c>
      <c r="F87" t="n">
        <v>400</v>
      </c>
      <c r="G87" t="n">
        <v>400</v>
      </c>
      <c r="H87" t="n">
        <v>0</v>
      </c>
      <c r="I87" t="n">
        <v>1</v>
      </c>
      <c r="J87">
        <f>G87-F87</f>
        <v/>
      </c>
    </row>
    <row r="88">
      <c r="A88" t="n">
        <v>87</v>
      </c>
      <c r="B88" t="n">
        <v>116</v>
      </c>
      <c r="C88" t="inlineStr">
        <is>
          <t>Kanya Ruangrit</t>
        </is>
      </c>
      <c r="D88" t="inlineStr">
        <is>
          <t>Atome</t>
        </is>
      </c>
      <c r="E88" s="20" t="n">
        <v>46125</v>
      </c>
      <c r="F88" t="n">
        <v>550</v>
      </c>
      <c r="G88" t="n">
        <v>550</v>
      </c>
      <c r="H88" t="n">
        <v>0</v>
      </c>
      <c r="I88" t="n">
        <v>2</v>
      </c>
      <c r="J88">
        <f>G88-F88</f>
        <v/>
      </c>
    </row>
    <row r="89">
      <c r="A89" t="n">
        <v>88</v>
      </c>
      <c r="B89" t="n">
        <v>116</v>
      </c>
      <c r="C89" t="inlineStr">
        <is>
          <t>Kanya Ruangrit</t>
        </is>
      </c>
      <c r="D89" t="inlineStr">
        <is>
          <t>Grab PayLater</t>
        </is>
      </c>
      <c r="E89" s="20" t="n">
        <v>46127</v>
      </c>
      <c r="F89" t="n">
        <v>400</v>
      </c>
      <c r="G89" t="n">
        <v>400</v>
      </c>
      <c r="H89" t="n">
        <v>0</v>
      </c>
      <c r="I89" t="n">
        <v>2</v>
      </c>
      <c r="J89">
        <f>G89-F89</f>
        <v/>
      </c>
    </row>
    <row r="90">
      <c r="A90" t="n">
        <v>89</v>
      </c>
      <c r="B90" t="n">
        <v>116</v>
      </c>
      <c r="C90" t="inlineStr">
        <is>
          <t>Kanya Ruangrit</t>
        </is>
      </c>
      <c r="D90" t="inlineStr">
        <is>
          <t>Atome</t>
        </is>
      </c>
      <c r="E90" s="20" t="n">
        <v>46155</v>
      </c>
      <c r="F90" t="n">
        <v>550</v>
      </c>
      <c r="G90" t="n">
        <v>690</v>
      </c>
      <c r="H90" t="n">
        <v>9</v>
      </c>
      <c r="I90" t="n">
        <v>3</v>
      </c>
      <c r="J90">
        <f>G90-F90</f>
        <v/>
      </c>
    </row>
    <row r="91">
      <c r="A91" t="n">
        <v>90</v>
      </c>
      <c r="B91" t="n">
        <v>116</v>
      </c>
      <c r="C91" t="inlineStr">
        <is>
          <t>Kanya Ruangrit</t>
        </is>
      </c>
      <c r="D91" t="inlineStr">
        <is>
          <t>Grab PayLater</t>
        </is>
      </c>
      <c r="E91" s="20" t="n">
        <v>46157</v>
      </c>
      <c r="F91" t="n">
        <v>400</v>
      </c>
      <c r="G91" t="n">
        <v>495</v>
      </c>
      <c r="H91" t="n">
        <v>8</v>
      </c>
      <c r="I91" t="n">
        <v>3</v>
      </c>
      <c r="J91">
        <f>G91-F91</f>
        <v/>
      </c>
    </row>
  </sheetData>
  <pageMargins left="0.75" right="0.75" top="1" bottom="1" header="0.511811023622047" footer="0.511811023622047"/>
  <pageSetup orientation="landscape" fitToHeight="0" horizontalDpi="300" verticalDpi="300"/>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fitToPage="1"/>
  </sheetPr>
  <dimension ref="A1:G21"/>
  <sheetViews>
    <sheetView topLeftCell="A2" zoomScaleNormal="100" workbookViewId="0">
      <selection activeCell="C5" sqref="C5"/>
    </sheetView>
  </sheetViews>
  <sheetFormatPr baseColWidth="8" defaultColWidth="8.6640625" defaultRowHeight="14.4"/>
  <cols>
    <col width="11" customWidth="1" style="45" min="1" max="1"/>
    <col width="20" customWidth="1" style="45" min="2" max="2"/>
    <col width="14" customWidth="1" style="45" min="3" max="3"/>
    <col width="11" customWidth="1" style="45" min="4" max="4"/>
    <col width="9" customWidth="1" style="45" min="5" max="5"/>
    <col width="17" customWidth="1" style="45" min="6" max="6"/>
    <col width="18" customWidth="1" style="45" min="7" max="7"/>
  </cols>
  <sheetData>
    <row r="1">
      <c r="A1" s="8" t="inlineStr">
        <is>
          <t>CustomerID</t>
        </is>
      </c>
      <c r="B1" s="8" t="inlineStr">
        <is>
          <t>FullName</t>
        </is>
      </c>
      <c r="C1" s="8" t="inlineStr">
        <is>
          <t>MonthlyIncome</t>
        </is>
      </c>
      <c r="D1" s="8" t="inlineStr">
        <is>
          <t>CreditScore</t>
        </is>
      </c>
      <c r="E1" s="8" t="inlineStr">
        <is>
          <t>DSR_Pct</t>
        </is>
      </c>
      <c r="F1" s="8" t="inlineStr">
        <is>
          <t>EligibilityOutcome</t>
        </is>
      </c>
      <c r="G1" s="8" t="inlineStr">
        <is>
          <t>Segment</t>
        </is>
      </c>
    </row>
    <row r="2">
      <c r="A2" t="n">
        <v>101</v>
      </c>
      <c r="B2" t="inlineStr">
        <is>
          <t>Somchai Jaidee</t>
        </is>
      </c>
      <c r="C2" t="n">
        <v>45000</v>
      </c>
      <c r="D2" t="n">
        <v>715</v>
      </c>
      <c r="E2" t="n">
        <v>0.325</v>
      </c>
      <c r="F2" t="inlineStr">
        <is>
          <t>Eligible</t>
        </is>
      </c>
      <c r="G2" t="inlineStr">
        <is>
          <t>Stacked - at risk</t>
        </is>
      </c>
    </row>
    <row r="3">
      <c r="A3" t="n">
        <v>102</v>
      </c>
      <c r="B3" t="inlineStr">
        <is>
          <t>Suda Panyawong</t>
        </is>
      </c>
      <c r="C3" t="n">
        <v>38000</v>
      </c>
      <c r="D3" t="n">
        <v>680</v>
      </c>
      <c r="E3" t="n">
        <v>0.41</v>
      </c>
      <c r="F3" t="inlineStr">
        <is>
          <t>Eligible</t>
        </is>
      </c>
      <c r="G3" t="inlineStr">
        <is>
          <t>Stacked - at risk</t>
        </is>
      </c>
    </row>
    <row r="4">
      <c r="A4" t="n">
        <v>103</v>
      </c>
      <c r="B4" t="inlineStr">
        <is>
          <t>Anan Chaiyaporn</t>
        </is>
      </c>
      <c r="C4" t="n">
        <v>32000</v>
      </c>
      <c r="D4" t="n">
        <v>702</v>
      </c>
      <c r="E4" t="n">
        <v>0.382</v>
      </c>
      <c r="F4" t="inlineStr">
        <is>
          <t>Eligible</t>
        </is>
      </c>
      <c r="G4" t="inlineStr">
        <is>
          <t>Stacked - at risk</t>
        </is>
      </c>
    </row>
    <row r="5">
      <c r="A5" t="n">
        <v>104</v>
      </c>
      <c r="B5" t="inlineStr">
        <is>
          <t>Nittaya Wongsawat</t>
        </is>
      </c>
      <c r="C5" t="n">
        <v>52000</v>
      </c>
      <c r="D5" t="n">
        <v>690</v>
      </c>
      <c r="E5" t="n">
        <v>0.448</v>
      </c>
      <c r="F5" t="inlineStr">
        <is>
          <t>Eligible</t>
        </is>
      </c>
      <c r="G5" t="inlineStr">
        <is>
          <t>Stacked - at risk</t>
        </is>
      </c>
    </row>
    <row r="6">
      <c r="A6" t="n">
        <v>105</v>
      </c>
      <c r="B6" t="inlineStr">
        <is>
          <t>Kittipong Srisuk</t>
        </is>
      </c>
      <c r="C6" t="n">
        <v>60000</v>
      </c>
      <c r="F6" t="inlineStr">
        <is>
          <t>Not Screened</t>
        </is>
      </c>
      <c r="G6" t="inlineStr">
        <is>
          <t>Stacked - healthy</t>
        </is>
      </c>
    </row>
    <row r="7">
      <c r="A7" t="n">
        <v>106</v>
      </c>
      <c r="B7" t="inlineStr">
        <is>
          <t>Wanida Boonmee</t>
        </is>
      </c>
      <c r="C7" t="n">
        <v>41000</v>
      </c>
      <c r="F7" t="inlineStr">
        <is>
          <t>Not Screened</t>
        </is>
      </c>
      <c r="G7" t="inlineStr">
        <is>
          <t>Stacked - healthy</t>
        </is>
      </c>
    </row>
    <row r="8">
      <c r="A8" t="n">
        <v>107</v>
      </c>
      <c r="B8" t="inlineStr">
        <is>
          <t>Prasert Rattanakul</t>
        </is>
      </c>
      <c r="C8" t="n">
        <v>75000</v>
      </c>
      <c r="F8" t="inlineStr">
        <is>
          <t>Not Screened</t>
        </is>
      </c>
      <c r="G8" t="inlineStr">
        <is>
          <t>Stacked - healthy</t>
        </is>
      </c>
    </row>
    <row r="9">
      <c r="A9" t="n">
        <v>108</v>
      </c>
      <c r="B9" t="inlineStr">
        <is>
          <t>Malee Thongdee</t>
        </is>
      </c>
      <c r="C9" t="n">
        <v>33000</v>
      </c>
      <c r="F9" t="inlineStr">
        <is>
          <t>Not Screened</t>
        </is>
      </c>
      <c r="G9" t="inlineStr">
        <is>
          <t>Stacked - healthy</t>
        </is>
      </c>
    </row>
    <row r="10">
      <c r="A10" t="n">
        <v>109</v>
      </c>
      <c r="B10" t="inlineStr">
        <is>
          <t>Chatchai Kiatkamon</t>
        </is>
      </c>
      <c r="C10" t="n">
        <v>29000</v>
      </c>
      <c r="F10" t="inlineStr">
        <is>
          <t>Not Screened</t>
        </is>
      </c>
      <c r="G10" t="inlineStr">
        <is>
          <t>Single provider</t>
        </is>
      </c>
    </row>
    <row r="11">
      <c r="A11" t="n">
        <v>110</v>
      </c>
      <c r="B11" t="inlineStr">
        <is>
          <t>Pornthip Suksawat</t>
        </is>
      </c>
      <c r="C11" t="n">
        <v>47000</v>
      </c>
      <c r="F11" t="inlineStr">
        <is>
          <t>Not Screened</t>
        </is>
      </c>
      <c r="G11" t="inlineStr">
        <is>
          <t>Single provider</t>
        </is>
      </c>
    </row>
    <row r="12">
      <c r="A12" t="n">
        <v>111</v>
      </c>
      <c r="B12" t="inlineStr">
        <is>
          <t>Wichai Amnuayporn</t>
        </is>
      </c>
      <c r="C12" t="n">
        <v>36000</v>
      </c>
      <c r="F12" t="inlineStr">
        <is>
          <t>Not Screened</t>
        </is>
      </c>
      <c r="G12" t="inlineStr">
        <is>
          <t>Single provider</t>
        </is>
      </c>
    </row>
    <row r="13">
      <c r="A13" t="n">
        <v>112</v>
      </c>
      <c r="B13" t="inlineStr">
        <is>
          <t>Siriporn Nakornthap</t>
        </is>
      </c>
      <c r="C13" t="n">
        <v>27000</v>
      </c>
      <c r="F13" t="inlineStr">
        <is>
          <t>Not Screened</t>
        </is>
      </c>
      <c r="G13" t="inlineStr">
        <is>
          <t>Single provider</t>
        </is>
      </c>
    </row>
    <row r="14">
      <c r="A14" t="n">
        <v>113</v>
      </c>
      <c r="B14" t="inlineStr">
        <is>
          <t>Boonsong Meechai</t>
        </is>
      </c>
      <c r="C14" t="n">
        <v>18000</v>
      </c>
      <c r="D14" t="n">
        <v>560</v>
      </c>
      <c r="E14" t="n">
        <v>0.61</v>
      </c>
      <c r="F14" t="inlineStr">
        <is>
          <t>Not Eligible</t>
        </is>
      </c>
      <c r="G14" t="inlineStr">
        <is>
          <t>Stacked - at risk</t>
        </is>
      </c>
    </row>
    <row r="15">
      <c r="A15" t="n">
        <v>114</v>
      </c>
      <c r="B15" t="inlineStr">
        <is>
          <t>Amporn Silpachai</t>
        </is>
      </c>
      <c r="C15" t="n">
        <v>21000</v>
      </c>
      <c r="D15" t="n">
        <v>545</v>
      </c>
      <c r="E15" t="n">
        <v>0.58</v>
      </c>
      <c r="F15" t="inlineStr">
        <is>
          <t>Not Eligible</t>
        </is>
      </c>
      <c r="G15" t="inlineStr">
        <is>
          <t>Stacked - at risk</t>
        </is>
      </c>
    </row>
    <row r="16">
      <c r="A16" t="n">
        <v>115</v>
      </c>
      <c r="B16" t="inlineStr">
        <is>
          <t>Somsak Pattaraporn</t>
        </is>
      </c>
      <c r="C16" t="n">
        <v>19500</v>
      </c>
      <c r="D16" t="n">
        <v>572</v>
      </c>
      <c r="E16" t="n">
        <v>0.555</v>
      </c>
      <c r="F16" t="inlineStr">
        <is>
          <t>Not Eligible</t>
        </is>
      </c>
      <c r="G16" t="inlineStr">
        <is>
          <t>Stacked - at risk</t>
        </is>
      </c>
    </row>
    <row r="17">
      <c r="A17" t="n">
        <v>116</v>
      </c>
      <c r="B17" t="inlineStr">
        <is>
          <t>Kanya Ruangrit</t>
        </is>
      </c>
      <c r="C17" t="n">
        <v>22000</v>
      </c>
      <c r="D17" t="n">
        <v>530</v>
      </c>
      <c r="E17" t="n">
        <v>0.63</v>
      </c>
      <c r="F17" t="inlineStr">
        <is>
          <t>Not Eligible</t>
        </is>
      </c>
      <c r="G17" t="inlineStr">
        <is>
          <t>Stacked - at risk</t>
        </is>
      </c>
    </row>
    <row r="18">
      <c r="A18" t="n">
        <v>117</v>
      </c>
      <c r="B18" t="inlineStr">
        <is>
          <t>Direk Wattanasin</t>
        </is>
      </c>
      <c r="C18" t="n">
        <v>55000</v>
      </c>
      <c r="F18" t="inlineStr">
        <is>
          <t>Not Screened</t>
        </is>
      </c>
      <c r="G18" t="inlineStr">
        <is>
          <t>Not a BNPL user</t>
        </is>
      </c>
    </row>
    <row r="19">
      <c r="A19" t="n">
        <v>118</v>
      </c>
      <c r="B19" t="inlineStr">
        <is>
          <t>Ratana Chotisiri</t>
        </is>
      </c>
      <c r="C19" t="n">
        <v>48000</v>
      </c>
      <c r="F19" t="inlineStr">
        <is>
          <t>Not Screened</t>
        </is>
      </c>
      <c r="G19" t="inlineStr">
        <is>
          <t>Not a BNPL user</t>
        </is>
      </c>
    </row>
    <row r="20">
      <c r="A20" t="n">
        <v>119</v>
      </c>
      <c r="B20" t="inlineStr">
        <is>
          <t>Sombat Uthairat</t>
        </is>
      </c>
      <c r="C20" t="n">
        <v>62000</v>
      </c>
      <c r="F20" t="inlineStr">
        <is>
          <t>Not Screened</t>
        </is>
      </c>
      <c r="G20" t="inlineStr">
        <is>
          <t>Not a BNPL user</t>
        </is>
      </c>
    </row>
    <row r="21">
      <c r="A21" t="n">
        <v>120</v>
      </c>
      <c r="B21" t="inlineStr">
        <is>
          <t>Wassana Intharaphan</t>
        </is>
      </c>
      <c r="C21" t="n">
        <v>44000</v>
      </c>
      <c r="F21" t="inlineStr">
        <is>
          <t>Not Screened</t>
        </is>
      </c>
      <c r="G21" t="inlineStr">
        <is>
          <t>Not a BNPL user</t>
        </is>
      </c>
    </row>
  </sheetData>
  <pageMargins left="0.75" right="0.75" top="1" bottom="1" header="0.511811023622047" footer="0.511811023622047"/>
  <pageSetup orientation="landscape" fitToHeight="0" horizontalDpi="300" verticalDpi="30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fitToPage="1"/>
  </sheetPr>
  <dimension ref="A1:G5"/>
  <sheetViews>
    <sheetView zoomScaleNormal="100" workbookViewId="0">
      <selection activeCell="C4" sqref="C4"/>
    </sheetView>
  </sheetViews>
  <sheetFormatPr baseColWidth="8" defaultColWidth="8.6640625" defaultRowHeight="14.4"/>
  <cols>
    <col width="11" customWidth="1" style="45" min="1" max="1"/>
    <col width="20" customWidth="1" style="45" min="2" max="2"/>
    <col width="12" customWidth="1" style="45" min="3" max="4"/>
    <col width="14" customWidth="1" style="45" min="5" max="6"/>
    <col width="10" customWidth="1" style="45" min="7" max="7"/>
  </cols>
  <sheetData>
    <row r="1">
      <c r="A1" s="8" t="inlineStr">
        <is>
          <t>CustomerID</t>
        </is>
      </c>
      <c r="B1" s="8" t="inlineStr">
        <is>
          <t>FullName</t>
        </is>
      </c>
      <c r="C1" s="8" t="inlineStr">
        <is>
          <t>OfferDate</t>
        </is>
      </c>
      <c r="D1" s="8" t="inlineStr">
        <is>
          <t>TotalAmount</t>
        </is>
      </c>
      <c r="E1" s="8" t="inlineStr">
        <is>
          <t>OfferedRatePct</t>
        </is>
      </c>
      <c r="F1" s="8" t="inlineStr">
        <is>
          <t>MonthlyPayment</t>
        </is>
      </c>
      <c r="G1" s="8" t="inlineStr">
        <is>
          <t>Status</t>
        </is>
      </c>
    </row>
    <row r="2">
      <c r="A2" t="n">
        <v>101</v>
      </c>
      <c r="B2" t="inlineStr">
        <is>
          <t>Somchai Jaidee</t>
        </is>
      </c>
      <c r="C2" s="20" t="n">
        <v>46165</v>
      </c>
      <c r="D2" t="n">
        <v>2000</v>
      </c>
      <c r="E2" t="n">
        <v>0.15</v>
      </c>
      <c r="F2" t="n">
        <v>180</v>
      </c>
      <c r="G2" t="inlineStr">
        <is>
          <t>Accepted</t>
        </is>
      </c>
    </row>
    <row r="3">
      <c r="A3" t="n">
        <v>102</v>
      </c>
      <c r="B3" t="inlineStr">
        <is>
          <t>Suda Panyawong</t>
        </is>
      </c>
      <c r="C3" s="20" t="n">
        <v>46169</v>
      </c>
      <c r="D3" t="n">
        <v>4400</v>
      </c>
      <c r="E3" t="n">
        <v>0.15</v>
      </c>
      <c r="F3" t="n">
        <v>385</v>
      </c>
      <c r="G3" t="inlineStr">
        <is>
          <t>Accepted</t>
        </is>
      </c>
    </row>
    <row r="4">
      <c r="A4" t="n">
        <v>103</v>
      </c>
      <c r="B4" t="inlineStr">
        <is>
          <t>Anan Chaiyaporn</t>
        </is>
      </c>
      <c r="C4" s="20" t="n">
        <v>46162</v>
      </c>
      <c r="D4" t="n">
        <v>1730</v>
      </c>
      <c r="E4" t="n">
        <v>0.14</v>
      </c>
      <c r="F4" t="n">
        <v>149</v>
      </c>
      <c r="G4" t="inlineStr">
        <is>
          <t>Declined</t>
        </is>
      </c>
    </row>
    <row r="5">
      <c r="A5" t="n">
        <v>104</v>
      </c>
      <c r="B5" t="inlineStr">
        <is>
          <t>Nittaya Wongsawat</t>
        </is>
      </c>
      <c r="C5" s="20" t="n">
        <v>46172</v>
      </c>
      <c r="D5" t="n">
        <v>3335</v>
      </c>
      <c r="E5" t="n">
        <v>0.15</v>
      </c>
      <c r="F5" t="n">
        <v>291</v>
      </c>
      <c r="G5" t="inlineStr">
        <is>
          <t>Accepted</t>
        </is>
      </c>
    </row>
  </sheetData>
  <pageMargins left="0.75" right="0.75" top="1" bottom="1" header="0.511811023622047" footer="0.511811023622047"/>
  <pageSetup orientation="landscape" fitToHeight="0" horizontalDpi="300" verticalDpi="30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fitToPage="1"/>
  </sheetPr>
  <dimension ref="B2:E28"/>
  <sheetViews>
    <sheetView zoomScaleNormal="100" workbookViewId="0">
      <selection activeCell="C15" sqref="C15"/>
    </sheetView>
  </sheetViews>
  <sheetFormatPr baseColWidth="8" defaultColWidth="8.6640625" defaultRowHeight="14.4"/>
  <cols>
    <col width="3" customWidth="1" style="45" min="1" max="1"/>
    <col width="46" customWidth="1" style="45" min="2" max="2"/>
    <col width="14" customWidth="1" style="45" min="3" max="3"/>
    <col width="16" customWidth="1" style="45" min="4" max="4"/>
    <col width="52" customWidth="1" style="45" min="5" max="5"/>
  </cols>
  <sheetData>
    <row r="2" ht="23.25" customHeight="1" s="45">
      <c r="B2" s="7" t="inlineStr">
        <is>
          <t>Data Quality &amp; QA Checks</t>
        </is>
      </c>
    </row>
    <row r="3" ht="43.5" customHeight="1" s="45">
      <c r="B3" s="37" t="inlineStr">
        <is>
          <t>Before you trust a single number in the sheets that follow, check the raw data itself. This is the step a real BA/DA does first and a reviewer will specifically look for — skipping it is the most common portfolio red flag.</t>
        </is>
      </c>
    </row>
    <row r="5" ht="17.25" customHeight="1" s="45">
      <c r="B5" s="40" t="inlineStr">
        <is>
          <t>A. Completeness — are there blanks where there shouldn't be?</t>
        </is>
      </c>
    </row>
    <row r="6">
      <c r="B6" s="8" t="inlineStr">
        <is>
          <t>Check</t>
        </is>
      </c>
      <c r="C6" s="8" t="inlineStr">
        <is>
          <t>Result</t>
        </is>
      </c>
      <c r="D6" s="8" t="inlineStr">
        <is>
          <t>Expected</t>
        </is>
      </c>
      <c r="E6" s="8" t="inlineStr">
        <is>
          <t>How to check it</t>
        </is>
      </c>
    </row>
    <row r="7" ht="42" customHeight="1" s="45">
      <c r="B7" s="38" t="inlineStr">
        <is>
          <t>Blank CustomerID rows in Raw_Transactions</t>
        </is>
      </c>
      <c r="C7" s="21">
        <f>COUNTBLANK(RawTransactions[CustomerID])</f>
        <v/>
      </c>
      <c r="D7" s="38" t="inlineStr">
        <is>
          <t>Expect: 0</t>
        </is>
      </c>
      <c r="E7" s="41" t="inlineStr">
        <is>
          <t>COUNTBLANK on the CustomerID column.</t>
        </is>
      </c>
    </row>
    <row r="8" ht="42" customHeight="1" s="45">
      <c r="B8" s="38" t="inlineStr">
        <is>
          <t>Blank ExpectedAmount or ActualPaidAmount in Raw_Transactions</t>
        </is>
      </c>
      <c r="C8" s="21">
        <f>COUNTBLANK(RawTransactions[ExpectedAmount]) +  COUNTBLANK(RawTransactions[ActualPaidAmount])</f>
        <v/>
      </c>
      <c r="D8" s="38" t="inlineStr">
        <is>
          <t>Expect: 0</t>
        </is>
      </c>
      <c r="E8" s="41" t="inlineStr">
        <is>
          <t>COUNTBLANK on each amount column, then add them together.</t>
        </is>
      </c>
    </row>
    <row r="9" ht="42" customHeight="1" s="45">
      <c r="B9" s="38" t="inlineStr">
        <is>
          <t>Blank FullName in Raw_Customers</t>
        </is>
      </c>
      <c r="C9" s="21">
        <f>COUNTBLANK(RawCustomers[FullName])</f>
        <v/>
      </c>
      <c r="D9" s="38" t="inlineStr">
        <is>
          <t>Expect: 0</t>
        </is>
      </c>
      <c r="E9" s="41" t="inlineStr">
        <is>
          <t>COUNTBLANK on the FullName column.</t>
        </is>
      </c>
    </row>
    <row r="11" ht="17.25" customHeight="1" s="45">
      <c r="B11" s="40" t="inlineStr">
        <is>
          <t>B. Uniqueness — is anything duplicated that shouldn't be?</t>
        </is>
      </c>
    </row>
    <row r="12">
      <c r="B12" s="8" t="inlineStr">
        <is>
          <t>Check</t>
        </is>
      </c>
      <c r="C12" s="8" t="inlineStr">
        <is>
          <t>Result</t>
        </is>
      </c>
      <c r="D12" s="8" t="inlineStr">
        <is>
          <t>Expected</t>
        </is>
      </c>
      <c r="E12" s="8" t="inlineStr">
        <is>
          <t>How to check it</t>
        </is>
      </c>
    </row>
    <row r="13" ht="42" customHeight="1" s="45">
      <c r="B13" s="38" t="inlineStr">
        <is>
          <t>Duplicate ObligationID in Raw_Transactions</t>
        </is>
      </c>
      <c r="C13" s="21">
        <f t="array" ref="C13">SUMPRODUCT((COUNTIF(RawTransactions[ObligationID],RawTransactions[ObligationID])&gt;1)*1)</f>
        <v/>
      </c>
      <c r="D13" s="38" t="inlineStr">
        <is>
          <t>Expect: 0</t>
        </is>
      </c>
      <c r="E13" s="41" t="inlineStr">
        <is>
          <t>COUNTIF each ObligationID against the whole column; count how many come back &gt; 1.</t>
        </is>
      </c>
    </row>
    <row r="14" ht="42" customHeight="1" s="45">
      <c r="B14" s="38" t="inlineStr">
        <is>
          <t>Duplicate CustomerID in Raw_Customers</t>
        </is>
      </c>
      <c r="C14" s="21">
        <f t="array" ref="C14">SUMPRODUCT((COUNTIF(RawCustomers[CustomerID],RawCustomers[CustomerID])&gt;1)*1)</f>
        <v/>
      </c>
      <c r="D14" s="38" t="inlineStr">
        <is>
          <t>Expect: 0</t>
        </is>
      </c>
      <c r="E14" s="41" t="inlineStr">
        <is>
          <t>Same pattern — a customer should only appear once in Raw_Customers.</t>
        </is>
      </c>
    </row>
    <row r="16" ht="17.25" customHeight="1" s="45">
      <c r="B16" s="40" t="inlineStr">
        <is>
          <t>C. Validity — are values inside a believable range?</t>
        </is>
      </c>
    </row>
    <row r="17">
      <c r="B17" s="8" t="inlineStr">
        <is>
          <t>Check</t>
        </is>
      </c>
      <c r="C17" s="8" t="inlineStr">
        <is>
          <t>Result</t>
        </is>
      </c>
      <c r="D17" s="8" t="inlineStr">
        <is>
          <t>Expected</t>
        </is>
      </c>
      <c r="E17" s="8" t="inlineStr">
        <is>
          <t>How to check it</t>
        </is>
      </c>
    </row>
    <row r="18" ht="42" customHeight="1" s="45">
      <c r="B18" s="38" t="inlineStr">
        <is>
          <t>Negative ExpectedAmount or ActualPaidAmount in Raw_Transactions</t>
        </is>
      </c>
      <c r="C18" s="21">
        <f>COUNTIF(RawTransactions[ExpectedAmount],"&lt;0") + COUNTIF(RawTransactions[ActualPaidAmount],"&lt;0")</f>
        <v/>
      </c>
      <c r="D18" s="38" t="inlineStr">
        <is>
          <t>Expect: 0</t>
        </is>
      </c>
      <c r="E18" s="41" t="inlineStr">
        <is>
          <t>COUNTIF each amount column for "&lt;0".</t>
        </is>
      </c>
    </row>
    <row r="19" ht="42" customHeight="1" s="45">
      <c r="B19" s="38" t="inlineStr">
        <is>
          <t>Negative DaysLate in Raw_Transactions</t>
        </is>
      </c>
      <c r="C19" s="21">
        <f>COUNTIF(RawTransactions[DaysLate],"&lt;0")</f>
        <v/>
      </c>
      <c r="D19" s="38" t="inlineStr">
        <is>
          <t>Expect: 0</t>
        </is>
      </c>
      <c r="E19" s="41" t="inlineStr">
        <is>
          <t>COUNTIF DaysLate for "&lt;0" — you can't be late by a negative number of days.</t>
        </is>
      </c>
    </row>
    <row r="20" ht="42" customHeight="1" s="45">
      <c r="B20" s="38" t="inlineStr">
        <is>
          <t>CreditScore outside 300–850 (excluding 0 = not screened)</t>
        </is>
      </c>
      <c r="C20" s="21">
        <f>COUNTIFS(RawCustomers[CreditScore],"&lt;&gt;0",RawCustomers[CreditScore],"&lt;300") + COUNTIFS(RawCustomers[CreditScore],"&lt;&gt;0",RawCustomers[CreditScore],"&gt;850")</f>
        <v/>
      </c>
      <c r="D20" s="38" t="inlineStr">
        <is>
          <t>Expect: 0</t>
        </is>
      </c>
      <c r="E20" s="41" t="inlineStr">
        <is>
          <t>COUNTIFS with two conditions: CreditScore &lt;&gt; 0 AND (CreditScore &lt; 300 OR CreditScore &gt; 850). Think about why 0 has to be excluded here, not treated as invalid.</t>
        </is>
      </c>
    </row>
    <row r="21" ht="42" customHeight="1" s="45">
      <c r="B21" s="38" t="inlineStr">
        <is>
          <t>DSR_Pct above 100%</t>
        </is>
      </c>
      <c r="C21" s="21">
        <f>COUNTIF(RawCustomers[DSR_Pct],"&gt;100%")</f>
        <v/>
      </c>
      <c r="D21" s="38" t="inlineStr">
        <is>
          <t>Expect: 0 (or investigate if not)</t>
        </is>
      </c>
      <c r="E21" s="41" t="inlineStr">
        <is>
          <t>COUNTIF DSR_Pct for "&gt;1". A DSR over 100% is possible in real life but worth a second look.</t>
        </is>
      </c>
    </row>
    <row r="23" ht="17.25" customHeight="1" s="45">
      <c r="B23" s="40" t="inlineStr">
        <is>
          <t>D. Referential integrity — does every foreign key actually exist?</t>
        </is>
      </c>
    </row>
    <row r="24">
      <c r="B24" s="8" t="inlineStr">
        <is>
          <t>Check</t>
        </is>
      </c>
      <c r="C24" s="8" t="inlineStr">
        <is>
          <t>Result</t>
        </is>
      </c>
      <c r="D24" s="8" t="inlineStr">
        <is>
          <t>Expected</t>
        </is>
      </c>
      <c r="E24" s="8" t="inlineStr">
        <is>
          <t>How to check it</t>
        </is>
      </c>
    </row>
    <row r="25" ht="42" customHeight="1" s="45">
      <c r="B25" s="38" t="inlineStr">
        <is>
          <t>CustomerIDs in Raw_Transactions with no match in Raw_Customers</t>
        </is>
      </c>
      <c r="C25" s="21">
        <f t="array" ref="C25">SUMPRODUCT((COUNTIF(RawCustomers[CustomerID], RawTransactions[CustomerID])=0)*1)</f>
        <v/>
      </c>
      <c r="D25" s="38" t="inlineStr">
        <is>
          <t>Expect: 0</t>
        </is>
      </c>
      <c r="E25" s="41" t="inlineStr">
        <is>
          <t>COUNTIF Raw_Customers!A:A for each CustomerID in Raw_Transactions; count how many return 0 matches. SUMPRODUCT is the cleanest way to do this as a single array formula.</t>
        </is>
      </c>
    </row>
    <row r="26" ht="42" customHeight="1" s="45">
      <c r="B26" s="38" t="inlineStr">
        <is>
          <t>CustomerIDs in Raw_Offers with no match in Raw_Customers</t>
        </is>
      </c>
      <c r="C26" s="21">
        <f t="array" ref="C26">SUMPRODUCT((COUNTIF(RawCustomers[CustomerID],RawOffers[CustomerID])=0)*1)</f>
        <v/>
      </c>
      <c r="D26" s="38" t="inlineStr">
        <is>
          <t>Expect: 0</t>
        </is>
      </c>
      <c r="E26" s="41" t="inlineStr">
        <is>
          <t>Same pattern as above, applied to Raw_Offers.</t>
        </is>
      </c>
    </row>
    <row r="28" ht="43.5" customHeight="1" s="45">
      <c r="B28" s="37" t="inlineStr">
        <is>
          <t>If anything here doesn't come back at the expected result, don't quietly fix the raw data and move on — write down what you found and how you'd handle it in real life (flag to the data source? drop the row? cap the value?). That judgment call is worth more to a reviewer than a clean-looking spreadsheet.</t>
        </is>
      </c>
    </row>
  </sheetData>
  <mergeCells count="6">
    <mergeCell ref="B23:E23"/>
    <mergeCell ref="B16:E16"/>
    <mergeCell ref="B11:E11"/>
    <mergeCell ref="B3:E3"/>
    <mergeCell ref="B5:E5"/>
    <mergeCell ref="B28:E28"/>
  </mergeCells>
  <pageMargins left="0.75" right="0.75" top="1" bottom="1" header="0.511811023622047" footer="0.511811023622047"/>
  <pageSetup orientation="landscape" fitToHeight="0" horizontalDpi="300" verticalDpi="300"/>
</worksheet>
</file>

<file path=xl/worksheets/sheet11.xml><?xml version="1.0" encoding="utf-8"?>
<worksheet xmlns="http://schemas.openxmlformats.org/spreadsheetml/2006/main">
  <sheetPr>
    <outlinePr summaryBelow="1" summaryRight="1"/>
    <pageSetUpPr fitToPage="1"/>
  </sheetPr>
  <dimension ref="B2:E23"/>
  <sheetViews>
    <sheetView tabSelected="1" zoomScaleNormal="100" workbookViewId="0">
      <selection activeCell="E9" sqref="E9"/>
    </sheetView>
  </sheetViews>
  <sheetFormatPr baseColWidth="8" defaultColWidth="8.6640625" defaultRowHeight="14.4"/>
  <cols>
    <col width="3" customWidth="1" style="45" min="1" max="1"/>
    <col width="28" customWidth="1" style="45" min="2" max="2"/>
    <col width="20" customWidth="1" style="45" min="3" max="3"/>
    <col width="45" customWidth="1" style="45" min="4" max="4"/>
  </cols>
  <sheetData>
    <row r="2" ht="23.25" customHeight="1" s="45">
      <c r="B2" s="7" t="inlineStr">
        <is>
          <t>Customer Lookup</t>
        </is>
      </c>
    </row>
    <row r="3">
      <c r="B3" s="36" t="inlineStr">
        <is>
          <t>Pull a full customer profile by ID. Build every formula in column C — nothing is pre-filled.</t>
        </is>
      </c>
    </row>
    <row r="5" ht="17.25" customHeight="1" s="45">
      <c r="B5" s="40" t="inlineStr">
        <is>
          <t>A. Single customer profile</t>
        </is>
      </c>
    </row>
    <row r="6">
      <c r="B6" s="10" t="inlineStr">
        <is>
          <t>Enter a Customer ID:</t>
        </is>
      </c>
      <c r="C6" s="22" t="n">
        <v>101</v>
      </c>
    </row>
    <row r="7">
      <c r="B7" s="10" t="inlineStr">
        <is>
          <t>Full Name</t>
        </is>
      </c>
      <c r="C7" s="21">
        <f>INDEX(RawCustomers[FullName], MATCH(C6, RawCustomers[CustomerID], 0))</f>
        <v/>
      </c>
      <c r="D7" s="36" t="inlineStr">
        <is>
          <t>Use INDEX/MATCH against Raw_Customers.</t>
        </is>
      </c>
    </row>
    <row r="8">
      <c r="B8" s="10" t="inlineStr">
        <is>
          <t>Monthly Income</t>
        </is>
      </c>
      <c r="C8" s="21">
        <f>INDEX(RawCustomers[MonthlyIncome],MATCH(C6,RawCustomers[CustomerID],0))</f>
        <v/>
      </c>
      <c r="D8" s="36" t="inlineStr">
        <is>
          <t>Same pattern, different column.</t>
        </is>
      </c>
    </row>
    <row r="9">
      <c r="B9" s="10" t="inlineStr">
        <is>
          <t>Credit Score</t>
        </is>
      </c>
      <c r="C9" s="21">
        <f>INDEX(RawCustomers[CreditScore],MATCH(C6,RawCustomers[CustomerID],0))</f>
        <v/>
      </c>
      <c r="D9" s="36" t="inlineStr">
        <is>
          <t>Remember: 0 means never screened, not missing data.</t>
        </is>
      </c>
    </row>
    <row r="10">
      <c r="B10" s="10" t="inlineStr">
        <is>
          <t>DSR_Pct</t>
        </is>
      </c>
      <c r="C10" s="21">
        <f>INDEX(RawCustomers[DSR_Pct],MATCH(C6,RawCustomers[CustomerID],0))</f>
        <v/>
      </c>
      <c r="D10" s="36" t="inlineStr">
        <is>
          <t>Same pattern again.</t>
        </is>
      </c>
    </row>
    <row r="11">
      <c r="B11" s="10" t="inlineStr">
        <is>
          <t>Eligibility Outcome</t>
        </is>
      </c>
      <c r="C11" s="21">
        <f>INDEX(RawCustomers[EligibilityOutcome],MATCH(C6,RawCustomers[CustomerID],0))</f>
        <v/>
      </c>
      <c r="D11" s="36" t="inlineStr">
        <is>
          <t>Text field — same INDEX/MATCH pattern works for text too.</t>
        </is>
      </c>
    </row>
    <row r="12">
      <c r="B12" s="10" t="inlineStr">
        <is>
          <t>Segment</t>
        </is>
      </c>
      <c r="C12" s="21">
        <f>INDEX(RawCustomers[Segment],MATCH(C6,RawCustomers[CustomerID],0))</f>
        <v/>
      </c>
      <c r="D12" s="36" t="inlineStr">
        <is>
          <t>Same pattern.</t>
        </is>
      </c>
    </row>
    <row r="14" ht="17.25" customHeight="1" s="45">
      <c r="B14" s="40" t="inlineStr">
        <is>
          <t>B. Batch lookup with error handling</t>
        </is>
      </c>
    </row>
    <row r="15" ht="30" customHeight="1" s="45">
      <c r="B15" s="37" t="inlineStr">
        <is>
          <t>Use IFERROR so a missing Customer ID shows a clean message instead of a raw error code. One ID below (999) doesn't exist in Raw_Customers on purpose.</t>
        </is>
      </c>
    </row>
    <row r="17">
      <c r="B17" s="8" t="inlineStr">
        <is>
          <t>CustomerID</t>
        </is>
      </c>
      <c r="C17" s="8" t="inlineStr">
        <is>
          <t>Full Name</t>
        </is>
      </c>
      <c r="D17" s="8" t="inlineStr">
        <is>
          <t>Segment</t>
        </is>
      </c>
      <c r="E17" s="8" t="inlineStr">
        <is>
          <t>Found?</t>
        </is>
      </c>
    </row>
    <row r="18">
      <c r="B18" s="22" t="n">
        <v>105</v>
      </c>
      <c r="C18" s="21">
        <f>IFERROR(INDEX(RawCustomers[FullName], MATCH(B18, RawCustomers[CustomerID], 0)), "Not Found")</f>
        <v/>
      </c>
      <c r="D18" s="21">
        <f>IFERROR(INDEX(RawCustomers[Segment], MATCH(B18, RawCustomers[CustomerID], 0)), "Not Found")</f>
        <v/>
      </c>
      <c r="E18" s="21">
        <f>IF(COUNTIF(RawCustomers[CustomerID], B18)&gt;0, "Yes", "No")</f>
        <v/>
      </c>
    </row>
    <row r="19">
      <c r="B19" s="22" t="n">
        <v>101</v>
      </c>
      <c r="C19" s="21">
        <f>IFERROR(INDEX(RawCustomers[FullName], MATCH(B19, RawCustomers[CustomerID], 0)), "Not Found")</f>
        <v/>
      </c>
      <c r="D19" s="21">
        <f>IFERROR(INDEX(RawCustomers[Segment], MATCH(B19, RawCustomers[CustomerID], 0)), "Not Found")</f>
        <v/>
      </c>
      <c r="E19" s="21">
        <f>IF(COUNTIF(RawCustomers[CustomerID], B19)&gt;0, "Yes", "No")</f>
        <v/>
      </c>
    </row>
    <row r="20">
      <c r="B20" s="22" t="n">
        <v>113</v>
      </c>
      <c r="C20" s="21">
        <f>IFERROR(INDEX(RawCustomers[FullName], MATCH(B20, RawCustomers[CustomerID], 0)), "Not Found")</f>
        <v/>
      </c>
      <c r="D20" s="21">
        <f>IFERROR(INDEX(RawCustomers[Segment], MATCH(B20, RawCustomers[CustomerID], 0)), "Not Found")</f>
        <v/>
      </c>
      <c r="E20" s="21">
        <f>IF(COUNTIF(RawCustomers[CustomerID], B20)&gt;0, "Yes", "No")</f>
        <v/>
      </c>
    </row>
    <row r="21">
      <c r="B21" s="22" t="n">
        <v>999</v>
      </c>
      <c r="C21" s="21">
        <f>IFERROR(INDEX(RawCustomers[FullName], MATCH(B21, RawCustomers[CustomerID], 0)), "Not Found")</f>
        <v/>
      </c>
      <c r="D21" s="21">
        <f>IFERROR(INDEX(RawCustomers[Segment], MATCH(B21, RawCustomers[CustomerID], 0)), "Not Found")</f>
        <v/>
      </c>
      <c r="E21" s="21">
        <f>IF(COUNTIF(RawCustomers[CustomerID], B21)&gt;0, "Yes", "No")</f>
        <v/>
      </c>
    </row>
    <row r="22">
      <c r="B22" s="22" t="n">
        <v>102</v>
      </c>
      <c r="C22" s="21">
        <f>IFERROR(INDEX(RawCustomers[FullName], MATCH(B22, RawCustomers[CustomerID], 0)), "Not Found")</f>
        <v/>
      </c>
      <c r="D22" s="21">
        <f>IFERROR(INDEX(RawCustomers[Segment], MATCH(B22, RawCustomers[CustomerID], 0)), "Not Found")</f>
        <v/>
      </c>
      <c r="E22" s="21">
        <f>IF(COUNTIF(RawCustomers[CustomerID], B22)&gt;0, "Yes", "No")</f>
        <v/>
      </c>
    </row>
    <row r="23">
      <c r="B23" s="22" t="n">
        <v>116</v>
      </c>
      <c r="C23" s="21">
        <f>IFERROR(INDEX(RawCustomers[FullName], MATCH(B23, RawCustomers[CustomerID], 0)), "Not Found")</f>
        <v/>
      </c>
      <c r="D23" s="21">
        <f>IFERROR(INDEX(RawCustomers[Segment], MATCH(B23, RawCustomers[CustomerID], 0)), "Not Found")</f>
        <v/>
      </c>
      <c r="E23" s="21">
        <f>IF(COUNTIF(RawCustomers[CustomerID], B23)&gt;0, "Yes", "No")</f>
        <v/>
      </c>
    </row>
  </sheetData>
  <mergeCells count="2">
    <mergeCell ref="B15:D15"/>
    <mergeCell ref="B3:D3"/>
  </mergeCells>
  <pageMargins left="0.75" right="0.75" top="1" bottom="1" header="0.511811023622047" footer="0.511811023622047"/>
  <pageSetup orientation="landscape" fitToHeight="0" horizontalDpi="300" verticalDpi="300"/>
</worksheet>
</file>

<file path=xl/worksheets/sheet12.xml><?xml version="1.0" encoding="utf-8"?>
<worksheet xmlns="http://schemas.openxmlformats.org/spreadsheetml/2006/main">
  <sheetPr>
    <outlinePr summaryBelow="1" summaryRight="1"/>
    <pageSetUpPr fitToPage="1"/>
  </sheetPr>
  <dimension ref="B2:E12"/>
  <sheetViews>
    <sheetView topLeftCell="A2" zoomScaleNormal="100" workbookViewId="0">
      <selection activeCell="D7" sqref="D7"/>
    </sheetView>
  </sheetViews>
  <sheetFormatPr baseColWidth="8" defaultColWidth="8.6640625" defaultRowHeight="14.4"/>
  <cols>
    <col width="3" customWidth="1" style="45" min="1" max="1"/>
    <col width="32" customWidth="1" style="45" min="2" max="2"/>
    <col width="14" customWidth="1" style="45" min="3" max="3"/>
    <col width="12" customWidth="1" style="45" min="4" max="4"/>
    <col width="52" customWidth="1" style="45" min="5" max="5"/>
  </cols>
  <sheetData>
    <row r="2" ht="23.25" customHeight="1" s="45">
      <c r="B2" s="7" t="inlineStr">
        <is>
          <t>Conversion Funnel</t>
        </is>
      </c>
    </row>
    <row r="3">
      <c r="B3" s="36" t="inlineStr">
        <is>
          <t>Same 5-stage funnel as your SQL deliverable's Q11 — same source data, same numbers, different tool.</t>
        </is>
      </c>
    </row>
    <row r="5">
      <c r="B5" s="8" t="inlineStr">
        <is>
          <t>Funnel Stage</t>
        </is>
      </c>
      <c r="C5" s="8" t="inlineStr">
        <is>
          <t>Count</t>
        </is>
      </c>
      <c r="D5" s="8" t="inlineStr">
        <is>
          <t>% of Total</t>
        </is>
      </c>
      <c r="E5" s="8" t="inlineStr">
        <is>
          <t>What to count</t>
        </is>
      </c>
    </row>
    <row r="6">
      <c r="B6" s="10" t="inlineStr">
        <is>
          <t>Stage 1: Total Customers</t>
        </is>
      </c>
      <c r="C6" s="21">
        <f>COUNTA(RawCustomers[CustomerID])</f>
        <v/>
      </c>
      <c r="D6" s="21">
        <f>C6/$C$6</f>
        <v/>
      </c>
      <c r="E6" s="37" t="inlineStr">
        <is>
          <t>Every row in Raw_Customers. Think COUNTA.</t>
        </is>
      </c>
    </row>
    <row r="7">
      <c r="B7" s="10" t="inlineStr">
        <is>
          <t>Stage 2: Stacked (2+ providers)</t>
        </is>
      </c>
      <c r="C7" s="21">
        <f>COUNTIF(RawCustomers[Segment],"Stacked*")</f>
        <v/>
      </c>
      <c r="D7" s="21">
        <f>C7/$C$6</f>
        <v/>
      </c>
      <c r="E7" s="37" t="inlineStr">
        <is>
          <t>Segment starts with "Stacked" — wildcard match needed.</t>
        </is>
      </c>
    </row>
    <row r="8">
      <c r="B8" s="10" t="inlineStr">
        <is>
          <t>Stage 3: Stacked + Late Signal</t>
        </is>
      </c>
      <c r="C8" s="21">
        <f>COUNTIF(RawCustomers[Segment],"Stacked - at risk")</f>
        <v/>
      </c>
      <c r="D8" s="21">
        <f>C8/$C$6</f>
        <v/>
      </c>
      <c r="E8" s="37" t="inlineStr">
        <is>
          <t>Segment is exactly "Stacked - at risk".</t>
        </is>
      </c>
    </row>
    <row r="9">
      <c r="B9" s="10" t="inlineStr">
        <is>
          <t>Stage 4: Passed Credit Screening</t>
        </is>
      </c>
      <c r="C9" s="21">
        <f>COUNTIF(RawCustomers[EligibilityOutcome], "Eligible")</f>
        <v/>
      </c>
      <c r="D9" s="21">
        <f>C9/$C$6</f>
        <v/>
      </c>
      <c r="E9" s="37" t="inlineStr">
        <is>
          <t>EligibilityOutcome equals "Eligible", in Raw_Customers.</t>
        </is>
      </c>
    </row>
    <row r="10" ht="27" customHeight="1" s="45">
      <c r="B10" s="10" t="inlineStr">
        <is>
          <t>Stage 5: Accepted Consolidation Offer</t>
        </is>
      </c>
      <c r="C10" s="21">
        <f>COUNTIF(RawOffers[Status],"Accepted")</f>
        <v/>
      </c>
      <c r="D10" s="21">
        <f>C10/$C$6</f>
        <v/>
      </c>
      <c r="E10" s="37" t="inlineStr">
        <is>
          <t>Status equals "Accepted", but this one's in Raw_Offers, not Raw_Customers.</t>
        </is>
      </c>
    </row>
    <row r="12" ht="30" customHeight="1" s="45">
      <c r="B12" s="37" t="inlineStr">
        <is>
          <t>Tip: %-of-total should always divide by Stage 1's count, and that reference should be locked with $ so it doesn't shift as you copy the formula down.</t>
        </is>
      </c>
    </row>
  </sheetData>
  <mergeCells count="2">
    <mergeCell ref="B12:E12"/>
    <mergeCell ref="B3:E3"/>
  </mergeCells>
  <pageMargins left="0.75" right="0.75" top="1" bottom="1" header="0.511811023622047" footer="0.511811023622047"/>
  <pageSetup orientation="landscape" fitToHeight="0" horizontalDpi="300" verticalDpi="300"/>
</worksheet>
</file>

<file path=xl/worksheets/sheet13.xml><?xml version="1.0" encoding="utf-8"?>
<worksheet xmlns="http://schemas.openxmlformats.org/spreadsheetml/2006/main">
  <sheetPr>
    <outlinePr summaryBelow="1" summaryRight="1"/>
    <pageSetUpPr fitToPage="1"/>
  </sheetPr>
  <dimension ref="A2:N43"/>
  <sheetViews>
    <sheetView topLeftCell="A7" zoomScaleNormal="100" workbookViewId="0">
      <selection activeCell="B13" sqref="B13:D13"/>
    </sheetView>
  </sheetViews>
  <sheetFormatPr baseColWidth="8" defaultColWidth="8.6640625" defaultRowHeight="14.4"/>
  <cols>
    <col width="3" customWidth="1" style="45" min="1" max="1"/>
    <col width="34" customWidth="1" style="45" min="2" max="2"/>
    <col width="10.6640625" customWidth="1" style="45" min="3" max="3"/>
    <col width="9.88671875" customWidth="1" style="45" min="4" max="5"/>
    <col width="8.88671875" customWidth="1" style="45" min="6" max="6"/>
    <col width="13.5546875" customWidth="1" style="45" min="7" max="7"/>
    <col width="10.5546875" customWidth="1" style="45" min="8" max="8"/>
    <col width="10.109375" customWidth="1" style="45" min="9" max="9"/>
    <col width="13.5546875" customWidth="1" style="45" min="10" max="10"/>
    <col width="14" customWidth="1" style="45" min="11" max="12"/>
  </cols>
  <sheetData>
    <row r="2" ht="23.25" customHeight="1" s="45">
      <c r="B2" s="7" t="inlineStr">
        <is>
          <t>12-Month Revenue Projection</t>
        </is>
      </c>
    </row>
    <row r="3" ht="30" customHeight="1" s="45">
      <c r="B3" s="37" t="inlineStr">
        <is>
          <t>Every number below should be a formula referencing the blue/yellow assumption cells. Nothing should ever be a typed-in result — that's what makes this a real model, not a report.</t>
        </is>
      </c>
    </row>
    <row r="4" ht="43.5" customHeight="1" s="45">
      <c r="A4" s="23" t="n"/>
      <c r="B4" s="41" t="inlineStr">
        <is>
          <t>Updated 2026-09-18: rebuilt for the LOCKED B2B licensing model — the consumer app (Dashboard + Auto-Pay) is 100% free with zero consumer subscription or interest revenue. The only revenue line is B2B: partner banks pay a one-time setup fee plus a recurring monthly license fee, tiered by bank size. See business_model_pivot_decisions.md, decisions #4 and #5.</t>
        </is>
      </c>
      <c r="M4" s="23" t="n"/>
      <c r="N4" s="23" t="n"/>
    </row>
    <row r="5">
      <c r="A5" s="23" t="n"/>
      <c r="B5" s="23" t="n"/>
      <c r="C5" s="23" t="n"/>
      <c r="D5" s="23" t="n"/>
      <c r="E5" s="23" t="n"/>
      <c r="F5" s="23" t="n"/>
      <c r="G5" s="23" t="n"/>
      <c r="H5" s="23" t="n"/>
      <c r="I5" s="23" t="n"/>
      <c r="J5" s="23" t="n"/>
      <c r="K5" s="23" t="n"/>
      <c r="L5" s="23" t="n"/>
      <c r="M5" s="23" t="n"/>
      <c r="N5" s="23" t="n"/>
    </row>
    <row r="6" ht="17.25" customHeight="1" s="45">
      <c r="A6" s="23" t="n"/>
      <c r="B6" s="40" t="inlineStr">
        <is>
          <t>Assumptions</t>
        </is>
      </c>
      <c r="C6" s="23" t="n"/>
      <c r="D6" s="23" t="n"/>
      <c r="E6" s="23" t="n"/>
      <c r="F6" s="23" t="n"/>
      <c r="G6" s="23" t="n"/>
      <c r="H6" s="23" t="n"/>
      <c r="I6" s="23" t="n"/>
      <c r="J6" s="23" t="n"/>
      <c r="K6" s="23" t="n"/>
      <c r="L6" s="23" t="n"/>
      <c r="M6" s="23" t="n"/>
      <c r="N6" s="23" t="n"/>
    </row>
    <row r="7" ht="48" customHeight="1" s="45">
      <c r="A7" s="23" t="n"/>
      <c r="B7" s="42" t="inlineStr">
        <is>
          <t>Tier 1 addressable banks (Big 6 by assets — KBank, SCB, BBL, KTB, Krungsri, TTB; each &gt;THB 1.5tn in total assets)</t>
        </is>
      </c>
      <c r="E7" s="24" t="n">
        <v>6</v>
      </c>
      <c r="F7" s="23" t="n"/>
      <c r="G7" s="23" t="n"/>
      <c r="H7" s="23" t="n"/>
      <c r="I7" s="23" t="n"/>
      <c r="J7" s="23" t="n"/>
      <c r="K7" s="23" t="n"/>
      <c r="L7" s="23" t="n"/>
      <c r="M7" s="23" t="n"/>
      <c r="N7" s="23" t="n"/>
    </row>
    <row r="8" ht="48" customHeight="1" s="45">
      <c r="A8" s="23" t="n"/>
      <c r="B8" s="42" t="inlineStr">
        <is>
          <t>Tier 2 addressable banks (mid-size domestic — TISCO, Kiatnakin Phatra, CIMB Thai, LH Bank, UOB (Thai), Standard Chartered (Thai), ICBC (Thai))</t>
        </is>
      </c>
      <c r="E8" s="24" t="n">
        <v>7</v>
      </c>
      <c r="F8" s="23" t="n"/>
      <c r="G8" s="23" t="n"/>
      <c r="H8" s="23" t="n"/>
      <c r="I8" s="23" t="n"/>
      <c r="J8" s="23" t="n"/>
      <c r="K8" s="23" t="n"/>
      <c r="L8" s="23" t="n"/>
      <c r="M8" s="23" t="n"/>
      <c r="N8" s="23" t="n"/>
    </row>
    <row r="9" ht="48" customHeight="1" s="45">
      <c r="A9" s="23" t="n"/>
      <c r="B9" s="42" t="inlineStr">
        <is>
          <t>Tier 1 one-time setup / integration fee (THB)</t>
        </is>
      </c>
      <c r="E9" s="25" t="n">
        <v>2500000</v>
      </c>
      <c r="F9" s="23" t="n"/>
      <c r="G9" s="23" t="n"/>
      <c r="H9" s="23" t="n"/>
      <c r="I9" s="23" t="n"/>
      <c r="J9" s="23" t="n"/>
      <c r="K9" s="23" t="n"/>
      <c r="L9" s="23" t="n"/>
      <c r="M9" s="23" t="n"/>
      <c r="N9" s="23" t="n"/>
    </row>
    <row r="10" ht="48" customHeight="1" s="45">
      <c r="A10" s="23" t="n"/>
      <c r="B10" s="42" t="inlineStr">
        <is>
          <t>Tier 2 one-time setup / integration fee (THB)</t>
        </is>
      </c>
      <c r="E10" s="25" t="n">
        <v>900000</v>
      </c>
      <c r="F10" s="23" t="n"/>
      <c r="G10" s="23" t="n"/>
      <c r="H10" s="23" t="n"/>
      <c r="I10" s="23" t="n"/>
      <c r="J10" s="23" t="n"/>
      <c r="K10" s="23" t="n"/>
      <c r="L10" s="23" t="n"/>
      <c r="M10" s="23" t="n"/>
      <c r="N10" s="23" t="n"/>
    </row>
    <row r="11" ht="48" customHeight="1" s="45">
      <c r="A11" s="23" t="n"/>
      <c r="B11" s="42" t="inlineStr">
        <is>
          <t>Tier 1 recurring monthly license fee (THB)</t>
        </is>
      </c>
      <c r="E11" s="25" t="n">
        <v>180000</v>
      </c>
      <c r="F11" s="23" t="n"/>
      <c r="G11" s="23" t="n"/>
      <c r="H11" s="23" t="n"/>
      <c r="I11" s="23" t="n"/>
      <c r="J11" s="23" t="n"/>
      <c r="K11" s="23" t="n"/>
      <c r="L11" s="23" t="n"/>
      <c r="M11" s="23" t="n"/>
      <c r="N11" s="23" t="n"/>
    </row>
    <row r="12" ht="48" customHeight="1" s="45">
      <c r="A12" s="23" t="n"/>
      <c r="B12" s="42" t="inlineStr">
        <is>
          <t>Tier 2 recurring monthly license fee (THB)</t>
        </is>
      </c>
      <c r="E12" s="25" t="n">
        <v>70000</v>
      </c>
      <c r="F12" s="23" t="n"/>
      <c r="G12" s="23" t="n"/>
      <c r="H12" s="23" t="n"/>
      <c r="I12" s="23" t="n"/>
      <c r="J12" s="23" t="n"/>
      <c r="K12" s="23" t="n"/>
      <c r="L12" s="23" t="n"/>
      <c r="M12" s="23" t="n"/>
      <c r="N12" s="23" t="n"/>
    </row>
    <row r="13" ht="48" customHeight="1" s="45">
      <c r="A13" s="23" t="n"/>
      <c r="B13" s="42" t="inlineStr">
        <is>
          <t>Months between each new Tier 1 bank signing (sales-cycle pace)</t>
        </is>
      </c>
      <c r="E13" s="24" t="n">
        <v>6</v>
      </c>
      <c r="F13" s="23" t="n"/>
      <c r="G13" s="23" t="n"/>
      <c r="H13" s="23" t="n"/>
      <c r="I13" s="23" t="n"/>
      <c r="J13" s="23" t="n"/>
      <c r="K13" s="23" t="n"/>
      <c r="L13" s="23" t="n"/>
      <c r="M13" s="23" t="n"/>
      <c r="N13" s="23" t="n"/>
    </row>
    <row r="14" ht="48" customHeight="1" s="45">
      <c r="A14" s="23" t="n"/>
      <c r="B14" s="42" t="inlineStr">
        <is>
          <t>Months between each new Tier 2 bank signing (sales-cycle pace)</t>
        </is>
      </c>
      <c r="E14" s="24" t="n">
        <v>3</v>
      </c>
      <c r="F14" s="23" t="n"/>
      <c r="G14" s="23" t="n"/>
      <c r="H14" s="23" t="n"/>
      <c r="I14" s="23" t="n"/>
      <c r="J14" s="23" t="n"/>
      <c r="K14" s="23" t="n"/>
      <c r="L14" s="23" t="n"/>
      <c r="M14" s="23" t="n"/>
      <c r="N14" s="23" t="n"/>
    </row>
    <row r="15" ht="99.75" customHeight="1" s="45">
      <c r="A15" s="23" t="n"/>
      <c r="B15" s="41" t="inlineStr">
        <is>
          <t>Assumption basis: Tier 1/Tier 2 bank counts and the Big-6 cut-off are grounded in published total-assets data for Thailand's 18 domestically-registered commercial banks (Wikipedia list of banks in Thailand; Statrys, “Top 6 Banks in Thailand,” 2026 — KBank ~THB 4.37tn, BBL ~THB 3.88tn, KTB ~THB 3.71tn, SCB ~THB 3.41tn, Krungsri ~THB 2.47tn, TTB ~THB 1.78tn; 3 state policy banks and 2 niche/specialized banks excluded as unrealistic near-term licensees). Setup fees, monthly license fees, and sales-cycle pace have no public Thai B2B-fintech benchmark to cite — they are this model's own scenario assumptions (yellow fill), sized directionally against typical enterprise core-banking/fintech vendor deal structures, and should be the first cells challenged or adjusted if better numbers become available.</t>
        </is>
      </c>
      <c r="M15" s="23" t="n"/>
      <c r="N15" s="23" t="n"/>
    </row>
    <row r="16">
      <c r="A16" s="23" t="n"/>
      <c r="B16" s="23" t="n"/>
      <c r="C16" s="23" t="n"/>
      <c r="D16" s="23" t="n"/>
      <c r="E16" s="23" t="n"/>
      <c r="F16" s="23" t="n"/>
      <c r="G16" s="23" t="n"/>
      <c r="H16" s="23" t="n"/>
      <c r="I16" s="23" t="n"/>
      <c r="J16" s="23" t="n"/>
      <c r="K16" s="23" t="n"/>
      <c r="L16" s="23" t="n"/>
      <c r="M16" s="23" t="n"/>
      <c r="N16" s="23" t="n"/>
    </row>
    <row r="17">
      <c r="A17" s="23" t="n"/>
      <c r="B17" s="23" t="n"/>
      <c r="C17" s="23" t="n"/>
      <c r="D17" s="23" t="n"/>
      <c r="E17" s="23" t="n"/>
      <c r="F17" s="23" t="n"/>
      <c r="G17" s="23" t="n"/>
      <c r="H17" s="23" t="n"/>
      <c r="I17" s="23" t="n"/>
      <c r="J17" s="23" t="n"/>
      <c r="K17" s="23" t="n"/>
      <c r="L17" s="23" t="n"/>
      <c r="M17" s="23" t="n"/>
      <c r="N17" s="23" t="n"/>
    </row>
    <row r="18" ht="54.75" customHeight="1" s="45">
      <c r="A18" s="23" t="n"/>
      <c r="B18" s="26" t="inlineStr">
        <is>
          <t>Month</t>
        </is>
      </c>
      <c r="C18" s="26" t="inlineStr">
        <is>
          <t>New Tier 1
Signed</t>
        </is>
      </c>
      <c r="D18" s="26" t="inlineStr">
        <is>
          <t>New Tier 2
Signed</t>
        </is>
      </c>
      <c r="E18" s="26" t="inlineStr">
        <is>
          <t>Cumulative
Tier 1 Live</t>
        </is>
      </c>
      <c r="F18" s="26" t="inlineStr">
        <is>
          <t>Cumulative
Tier 2 Live</t>
        </is>
      </c>
      <c r="G18" s="26" t="inlineStr">
        <is>
          <t>Setup Revenue
(THB)</t>
        </is>
      </c>
      <c r="H18" s="26" t="inlineStr">
        <is>
          <t>Recurring License
Revenue (THB)</t>
        </is>
      </c>
      <c r="I18" s="26" t="inlineStr">
        <is>
          <t>Total Monthly
Revenue (THB)</t>
        </is>
      </c>
      <c r="J18" s="27" t="n"/>
      <c r="K18" s="23" t="n"/>
      <c r="L18" s="23" t="n"/>
      <c r="M18" s="23" t="n"/>
      <c r="N18" s="23" t="n"/>
    </row>
    <row r="19">
      <c r="A19" s="23" t="n"/>
      <c r="B19" s="28" t="n">
        <v>0</v>
      </c>
      <c r="C19" s="28" t="n">
        <v>0</v>
      </c>
      <c r="D19" s="28" t="n">
        <v>0</v>
      </c>
      <c r="E19" s="28" t="n">
        <v>0</v>
      </c>
      <c r="F19" s="28" t="n">
        <v>0</v>
      </c>
      <c r="G19" s="28" t="n">
        <v>0</v>
      </c>
      <c r="H19" s="28" t="n">
        <v>0</v>
      </c>
      <c r="I19" s="28" t="n">
        <v>0</v>
      </c>
      <c r="J19" s="23" t="n"/>
      <c r="K19" s="23" t="n"/>
      <c r="L19" s="23" t="n"/>
      <c r="M19" s="23" t="n"/>
      <c r="N19" s="23" t="n"/>
    </row>
    <row r="20">
      <c r="A20" s="23" t="n"/>
      <c r="B20" s="29">
        <f>B19+1</f>
        <v/>
      </c>
      <c r="C20" s="29">
        <f>E20-E19</f>
        <v/>
      </c>
      <c r="D20" s="29">
        <f>F20-F19</f>
        <v/>
      </c>
      <c r="E20" s="29">
        <f>MIN($E$7,ROUNDDOWN((B20-1)/$E$13,0)+1)</f>
        <v/>
      </c>
      <c r="F20" s="29">
        <f>IF(B20=1,0,MIN($E$8,ROUNDDOWN((B20-2)/$E$14,0)+1))</f>
        <v/>
      </c>
      <c r="G20" s="28">
        <f>C20*$E$9+D20*$E$10</f>
        <v/>
      </c>
      <c r="H20" s="28">
        <f>E20*$E$11+F20*$E$12</f>
        <v/>
      </c>
      <c r="I20" s="28">
        <f>G20+H20</f>
        <v/>
      </c>
      <c r="J20" s="23" t="n"/>
      <c r="K20" s="23" t="n"/>
      <c r="L20" s="23" t="n"/>
      <c r="M20" s="23" t="n"/>
      <c r="N20" s="23" t="n"/>
    </row>
    <row r="21">
      <c r="A21" s="23" t="n"/>
      <c r="B21" s="29">
        <f>B20+1</f>
        <v/>
      </c>
      <c r="C21" s="29">
        <f>E21-E20</f>
        <v/>
      </c>
      <c r="D21" s="29">
        <f>F21-F20</f>
        <v/>
      </c>
      <c r="E21" s="29">
        <f>MIN($E$7,ROUNDDOWN((B21-1)/$E$13,0)+1)</f>
        <v/>
      </c>
      <c r="F21" s="29">
        <f>IF(B21=1,0,MIN($E$8,ROUNDDOWN((B21-2)/$E$14,0)+1))</f>
        <v/>
      </c>
      <c r="G21" s="28">
        <f>C21*$E$9+D21*$E$10</f>
        <v/>
      </c>
      <c r="H21" s="28">
        <f>E21*$E$11+F21*$E$12</f>
        <v/>
      </c>
      <c r="I21" s="28">
        <f>G21+H21</f>
        <v/>
      </c>
      <c r="J21" s="23" t="n"/>
      <c r="K21" s="23" t="n"/>
      <c r="L21" s="23" t="n"/>
      <c r="M21" s="23" t="n"/>
      <c r="N21" s="23" t="n"/>
    </row>
    <row r="22">
      <c r="A22" s="23" t="n"/>
      <c r="B22" s="29">
        <f>B21+1</f>
        <v/>
      </c>
      <c r="C22" s="29">
        <f>E22-E21</f>
        <v/>
      </c>
      <c r="D22" s="29">
        <f>F22-F21</f>
        <v/>
      </c>
      <c r="E22" s="29">
        <f>MIN($E$7,ROUNDDOWN((B22-1)/$E$13,0)+1)</f>
        <v/>
      </c>
      <c r="F22" s="29">
        <f>IF(B22=1,0,MIN($E$8,ROUNDDOWN((B22-2)/$E$14,0)+1))</f>
        <v/>
      </c>
      <c r="G22" s="28">
        <f>C22*$E$9+D22*$E$10</f>
        <v/>
      </c>
      <c r="H22" s="28">
        <f>E22*$E$11+F22*$E$12</f>
        <v/>
      </c>
      <c r="I22" s="28">
        <f>G22+H22</f>
        <v/>
      </c>
      <c r="J22" s="23" t="n"/>
      <c r="K22" s="23" t="n"/>
      <c r="L22" s="23" t="n"/>
      <c r="M22" s="23" t="n"/>
      <c r="N22" s="23" t="n"/>
    </row>
    <row r="23">
      <c r="A23" s="23" t="n"/>
      <c r="B23" s="29">
        <f>B22+1</f>
        <v/>
      </c>
      <c r="C23" s="29">
        <f>E23-E22</f>
        <v/>
      </c>
      <c r="D23" s="29">
        <f>F23-F22</f>
        <v/>
      </c>
      <c r="E23" s="29">
        <f>MIN($E$7,ROUNDDOWN((B23-1)/$E$13,0)+1)</f>
        <v/>
      </c>
      <c r="F23" s="29">
        <f>IF(B23=1,0,MIN($E$8,ROUNDDOWN((B23-2)/$E$14,0)+1))</f>
        <v/>
      </c>
      <c r="G23" s="28">
        <f>C23*$E$9+D23*$E$10</f>
        <v/>
      </c>
      <c r="H23" s="28">
        <f>E23*$E$11+F23*$E$12</f>
        <v/>
      </c>
      <c r="I23" s="28">
        <f>G23+H23</f>
        <v/>
      </c>
      <c r="J23" s="23" t="n"/>
      <c r="K23" s="23" t="n"/>
      <c r="L23" s="23" t="n"/>
      <c r="M23" s="23" t="n"/>
      <c r="N23" s="23" t="n"/>
    </row>
    <row r="24">
      <c r="A24" s="23" t="n"/>
      <c r="B24" s="29">
        <f>B23+1</f>
        <v/>
      </c>
      <c r="C24" s="29">
        <f>E24-E23</f>
        <v/>
      </c>
      <c r="D24" s="29">
        <f>F24-F23</f>
        <v/>
      </c>
      <c r="E24" s="29">
        <f>MIN($E$7,ROUNDDOWN((B24-1)/$E$13,0)+1)</f>
        <v/>
      </c>
      <c r="F24" s="29">
        <f>IF(B24=1,0,MIN($E$8,ROUNDDOWN((B24-2)/$E$14,0)+1))</f>
        <v/>
      </c>
      <c r="G24" s="28">
        <f>C24*$E$9+D24*$E$10</f>
        <v/>
      </c>
      <c r="H24" s="28">
        <f>E24*$E$11+F24*$E$12</f>
        <v/>
      </c>
      <c r="I24" s="28">
        <f>G24+H24</f>
        <v/>
      </c>
      <c r="J24" s="23" t="n"/>
      <c r="K24" s="23" t="n"/>
      <c r="L24" s="23" t="n"/>
      <c r="M24" s="23" t="n"/>
      <c r="N24" s="23" t="n"/>
    </row>
    <row r="25">
      <c r="A25" s="23" t="n"/>
      <c r="B25" s="29">
        <f>B24+1</f>
        <v/>
      </c>
      <c r="C25" s="29">
        <f>E25-E24</f>
        <v/>
      </c>
      <c r="D25" s="29">
        <f>F25-F24</f>
        <v/>
      </c>
      <c r="E25" s="29">
        <f>MIN($E$7,ROUNDDOWN((B25-1)/$E$13,0)+1)</f>
        <v/>
      </c>
      <c r="F25" s="29">
        <f>IF(B25=1,0,MIN($E$8,ROUNDDOWN((B25-2)/$E$14,0)+1))</f>
        <v/>
      </c>
      <c r="G25" s="28">
        <f>C25*$E$9+D25*$E$10</f>
        <v/>
      </c>
      <c r="H25" s="28">
        <f>E25*$E$11+F25*$E$12</f>
        <v/>
      </c>
      <c r="I25" s="28">
        <f>G25+H25</f>
        <v/>
      </c>
      <c r="J25" s="23" t="n"/>
      <c r="K25" s="23" t="n"/>
      <c r="L25" s="23" t="n"/>
      <c r="M25" s="23" t="n"/>
      <c r="N25" s="23" t="n"/>
    </row>
    <row r="26">
      <c r="A26" s="23" t="n"/>
      <c r="B26" s="29">
        <f>B25+1</f>
        <v/>
      </c>
      <c r="C26" s="29">
        <f>E26-E25</f>
        <v/>
      </c>
      <c r="D26" s="29">
        <f>F26-F25</f>
        <v/>
      </c>
      <c r="E26" s="29">
        <f>MIN($E$7,ROUNDDOWN((B26-1)/$E$13,0)+1)</f>
        <v/>
      </c>
      <c r="F26" s="29">
        <f>IF(B26=1,0,MIN($E$8,ROUNDDOWN((B26-2)/$E$14,0)+1))</f>
        <v/>
      </c>
      <c r="G26" s="28">
        <f>C26*$E$9+D26*$E$10</f>
        <v/>
      </c>
      <c r="H26" s="28">
        <f>E26*$E$11+F26*$E$12</f>
        <v/>
      </c>
      <c r="I26" s="28">
        <f>G26+H26</f>
        <v/>
      </c>
      <c r="J26" s="23" t="n"/>
      <c r="K26" s="23" t="n"/>
      <c r="L26" s="23" t="n"/>
      <c r="M26" s="23" t="n"/>
      <c r="N26" s="23" t="n"/>
    </row>
    <row r="27">
      <c r="A27" s="23" t="n"/>
      <c r="B27" s="29">
        <f>B26+1</f>
        <v/>
      </c>
      <c r="C27" s="29">
        <f>E27-E26</f>
        <v/>
      </c>
      <c r="D27" s="29">
        <f>F27-F26</f>
        <v/>
      </c>
      <c r="E27" s="29">
        <f>MIN($E$7,ROUNDDOWN((B27-1)/$E$13,0)+1)</f>
        <v/>
      </c>
      <c r="F27" s="29">
        <f>IF(B27=1,0,MIN($E$8,ROUNDDOWN((B27-2)/$E$14,0)+1))</f>
        <v/>
      </c>
      <c r="G27" s="28">
        <f>C27*$E$9+D27*$E$10</f>
        <v/>
      </c>
      <c r="H27" s="28">
        <f>E27*$E$11+F27*$E$12</f>
        <v/>
      </c>
      <c r="I27" s="28">
        <f>G27+H27</f>
        <v/>
      </c>
      <c r="J27" s="23" t="n"/>
      <c r="K27" s="23" t="n"/>
      <c r="L27" s="23" t="n"/>
      <c r="M27" s="23" t="n"/>
      <c r="N27" s="23" t="n"/>
    </row>
    <row r="28">
      <c r="A28" s="23" t="n"/>
      <c r="B28" s="29">
        <f>B27+1</f>
        <v/>
      </c>
      <c r="C28" s="29">
        <f>E28-E27</f>
        <v/>
      </c>
      <c r="D28" s="29">
        <f>F28-F27</f>
        <v/>
      </c>
      <c r="E28" s="29">
        <f>MIN($E$7,ROUNDDOWN((B28-1)/$E$13,0)+1)</f>
        <v/>
      </c>
      <c r="F28" s="29">
        <f>IF(B28=1,0,MIN($E$8,ROUNDDOWN((B28-2)/$E$14,0)+1))</f>
        <v/>
      </c>
      <c r="G28" s="28">
        <f>C28*$E$9+D28*$E$10</f>
        <v/>
      </c>
      <c r="H28" s="28">
        <f>E28*$E$11+F28*$E$12</f>
        <v/>
      </c>
      <c r="I28" s="28">
        <f>G28+H28</f>
        <v/>
      </c>
      <c r="J28" s="23" t="n"/>
      <c r="K28" s="23" t="n"/>
      <c r="L28" s="23" t="n"/>
      <c r="M28" s="23" t="n"/>
      <c r="N28" s="23" t="n"/>
    </row>
    <row r="29">
      <c r="A29" s="23" t="n"/>
      <c r="B29" s="29">
        <f>B28+1</f>
        <v/>
      </c>
      <c r="C29" s="29">
        <f>E29-E28</f>
        <v/>
      </c>
      <c r="D29" s="29">
        <f>F29-F28</f>
        <v/>
      </c>
      <c r="E29" s="29">
        <f>MIN($E$7,ROUNDDOWN((B29-1)/$E$13,0)+1)</f>
        <v/>
      </c>
      <c r="F29" s="29">
        <f>IF(B29=1,0,MIN($E$8,ROUNDDOWN((B29-2)/$E$14,0)+1))</f>
        <v/>
      </c>
      <c r="G29" s="28">
        <f>C29*$E$9+D29*$E$10</f>
        <v/>
      </c>
      <c r="H29" s="28">
        <f>E29*$E$11+F29*$E$12</f>
        <v/>
      </c>
      <c r="I29" s="28">
        <f>G29+H29</f>
        <v/>
      </c>
      <c r="J29" s="23" t="n"/>
      <c r="K29" s="23" t="n"/>
      <c r="L29" s="23" t="n"/>
      <c r="M29" s="23" t="n"/>
      <c r="N29" s="23" t="n"/>
    </row>
    <row r="30">
      <c r="A30" s="23" t="n"/>
      <c r="B30" s="29">
        <f>B29+1</f>
        <v/>
      </c>
      <c r="C30" s="29">
        <f>E30-E29</f>
        <v/>
      </c>
      <c r="D30" s="29">
        <f>F30-F29</f>
        <v/>
      </c>
      <c r="E30" s="29">
        <f>MIN($E$7,ROUNDDOWN((B30-1)/$E$13,0)+1)</f>
        <v/>
      </c>
      <c r="F30" s="29">
        <f>IF(B30=1,0,MIN($E$8,ROUNDDOWN((B30-2)/$E$14,0)+1))</f>
        <v/>
      </c>
      <c r="G30" s="28">
        <f>C30*$E$9+D30*$E$10</f>
        <v/>
      </c>
      <c r="H30" s="28">
        <f>E30*$E$11+F30*$E$12</f>
        <v/>
      </c>
      <c r="I30" s="28">
        <f>G30+H30</f>
        <v/>
      </c>
      <c r="J30" s="23" t="n"/>
      <c r="K30" s="23" t="n"/>
      <c r="L30" s="23" t="n"/>
      <c r="M30" s="23" t="n"/>
      <c r="N30" s="23" t="n"/>
    </row>
    <row r="31">
      <c r="A31" s="23" t="n"/>
      <c r="B31" s="29">
        <f>B30+1</f>
        <v/>
      </c>
      <c r="C31" s="29">
        <f>E31-E30</f>
        <v/>
      </c>
      <c r="D31" s="29">
        <f>F31-F30</f>
        <v/>
      </c>
      <c r="E31" s="29">
        <f>MIN($E$7,ROUNDDOWN((B31-1)/$E$13,0)+1)</f>
        <v/>
      </c>
      <c r="F31" s="29">
        <f>IF(B31=1,0,MIN($E$8,ROUNDDOWN((B31-2)/$E$14,0)+1))</f>
        <v/>
      </c>
      <c r="G31" s="28">
        <f>C31*$E$9+D31*$E$10</f>
        <v/>
      </c>
      <c r="H31" s="28">
        <f>E31*$E$11+F31*$E$12</f>
        <v/>
      </c>
      <c r="I31" s="28">
        <f>G31+H31</f>
        <v/>
      </c>
      <c r="J31" s="23" t="n"/>
      <c r="K31" s="23" t="n"/>
      <c r="L31" s="23" t="n"/>
      <c r="M31" s="23" t="n"/>
      <c r="N31" s="23" t="n"/>
    </row>
    <row r="32">
      <c r="A32" s="23" t="n"/>
      <c r="B32" s="23" t="n"/>
      <c r="C32" s="23" t="n"/>
      <c r="D32" s="23" t="n"/>
      <c r="E32" s="23" t="n"/>
      <c r="F32" s="23" t="n"/>
      <c r="G32" s="23" t="n"/>
      <c r="H32" s="23" t="n"/>
      <c r="I32" s="23" t="n"/>
      <c r="J32" s="23" t="n"/>
      <c r="K32" s="23" t="n"/>
      <c r="L32" s="23" t="n"/>
      <c r="M32" s="23" t="n"/>
      <c r="N32" s="23" t="n"/>
    </row>
    <row r="33" ht="17.25" customHeight="1" s="45">
      <c r="A33" s="23" t="n"/>
      <c r="B33" s="30" t="inlineStr">
        <is>
          <t>Total / Year-1 close</t>
        </is>
      </c>
      <c r="C33" s="23" t="n"/>
      <c r="D33" s="23" t="n"/>
      <c r="E33" s="29">
        <f>E31</f>
        <v/>
      </c>
      <c r="F33" s="29">
        <f>F31</f>
        <v/>
      </c>
      <c r="G33" s="28">
        <f>SUM(G20:G31)</f>
        <v/>
      </c>
      <c r="H33" s="28">
        <f>SUM(H20:H31)</f>
        <v/>
      </c>
      <c r="I33" s="28">
        <f>SUM(I20:I31)</f>
        <v/>
      </c>
      <c r="J33" s="23" t="n"/>
      <c r="K33" s="23" t="n"/>
      <c r="L33" s="23" t="n"/>
      <c r="M33" s="23" t="n"/>
      <c r="N33" s="23" t="n"/>
    </row>
    <row r="34" ht="43.5" customHeight="1" s="45">
      <c r="A34" s="23" t="n"/>
      <c r="B34" s="31" t="n"/>
      <c r="C34" s="23" t="n"/>
      <c r="D34" s="23" t="n"/>
      <c r="E34" s="23" t="n"/>
      <c r="F34" s="23" t="n"/>
      <c r="G34" s="23" t="n"/>
      <c r="H34" s="23" t="n"/>
      <c r="I34" s="23" t="n"/>
      <c r="J34" s="23" t="n"/>
      <c r="K34" s="23" t="n"/>
      <c r="L34" s="23" t="n"/>
      <c r="M34" s="23" t="n"/>
      <c r="N34" s="23" t="n"/>
    </row>
    <row r="35">
      <c r="A35" s="23" t="n"/>
      <c r="B35" s="23" t="n"/>
      <c r="C35" s="23" t="n"/>
      <c r="D35" s="23" t="n"/>
      <c r="E35" s="23" t="n"/>
      <c r="F35" s="23" t="n"/>
      <c r="G35" s="23" t="n"/>
      <c r="H35" s="23" t="n"/>
      <c r="I35" s="23" t="n"/>
      <c r="J35" s="23" t="n"/>
      <c r="K35" s="23" t="n"/>
      <c r="L35" s="23" t="n"/>
      <c r="M35" s="23" t="n"/>
      <c r="N35" s="23" t="n"/>
    </row>
    <row r="36" ht="17.4" customHeight="1" s="45">
      <c r="A36" s="23" t="n"/>
      <c r="B36" s="40" t="inlineStr">
        <is>
          <t>Sensitivity Analysis</t>
        </is>
      </c>
      <c r="C36" s="23" t="n"/>
      <c r="D36" s="23" t="n"/>
      <c r="E36" s="23" t="n"/>
      <c r="F36" s="23" t="n"/>
      <c r="G36" s="23" t="n"/>
      <c r="H36" s="23" t="n"/>
      <c r="I36" s="23" t="n"/>
      <c r="J36" s="23" t="n"/>
      <c r="K36" s="23" t="n"/>
      <c r="L36" s="23" t="n"/>
      <c r="M36" s="23" t="n"/>
      <c r="N36" s="23" t="n"/>
    </row>
    <row r="37" ht="99.75" customHeight="1" s="45">
      <c r="A37" s="23" t="n"/>
      <c r="B37" s="41" t="inlineStr">
        <is>
          <t>Change the Tier 1 sales-cycle pace assumption above (E13, months between each new Tier 1 bank signing) to each value below, and record what Year-1 Total Revenue (column I, Total row) becomes each time. Tested against every other assumption in this model, sales-cycle pace has the single largest swing on Year-1 revenue — bigger than either tier's pricing. That makes sense: the Tier 1 addressable cap (6 banks) is never reached within 12 months regardless of pace, so how fast enterprise bank deals actually close is the real bottleneck on Year-1 revenue, not the price charged once a deal closes. This is the manual version of sensitivity analysis — Excel's What-If Analysis → Data Table feature can automate this once you're comfortable with the basics.</t>
        </is>
      </c>
      <c r="K37" s="23" t="n"/>
      <c r="L37" s="23" t="n"/>
      <c r="M37" s="23" t="n"/>
      <c r="N37" s="23" t="n"/>
    </row>
    <row r="38">
      <c r="A38" s="23" t="n"/>
      <c r="B38" s="23" t="n"/>
      <c r="C38" s="23" t="n"/>
      <c r="D38" s="23" t="n"/>
      <c r="E38" s="23" t="n"/>
      <c r="F38" s="23" t="n"/>
      <c r="G38" s="23" t="n"/>
      <c r="H38" s="23" t="n"/>
      <c r="I38" s="23" t="n"/>
      <c r="J38" s="23" t="n"/>
      <c r="K38" s="23" t="n"/>
      <c r="L38" s="23" t="n"/>
      <c r="M38" s="23" t="n"/>
      <c r="N38" s="23" t="n"/>
    </row>
    <row r="39" ht="72" customHeight="1" s="45">
      <c r="A39" s="23" t="n"/>
      <c r="B39" s="26" t="inlineStr">
        <is>
          <t>Tier 1 Sales-Cycle Pace Scenario (months between signings)</t>
        </is>
      </c>
      <c r="C39" s="26" t="inlineStr">
        <is>
          <t>Resulting Year-1 Total Revenue (THB)</t>
        </is>
      </c>
      <c r="D39" s="23" t="n"/>
      <c r="E39" s="23" t="n"/>
      <c r="F39" s="23" t="n"/>
      <c r="G39" s="23" t="n"/>
      <c r="H39" s="23" t="n"/>
      <c r="I39" s="23" t="n"/>
      <c r="J39" s="23" t="n"/>
      <c r="K39" s="23" t="n"/>
      <c r="L39" s="23" t="n"/>
      <c r="M39" s="23" t="n"/>
      <c r="N39" s="23" t="n"/>
    </row>
    <row r="40">
      <c r="A40" s="23" t="n"/>
      <c r="B40" s="32" t="n">
        <v>4</v>
      </c>
      <c r="C40" s="28" t="n">
        <v>17240000</v>
      </c>
      <c r="D40" s="23" t="n"/>
      <c r="E40" s="23" t="n"/>
      <c r="F40" s="23" t="n"/>
      <c r="G40" s="23" t="n"/>
      <c r="H40" s="23" t="n"/>
      <c r="I40" s="23" t="n"/>
      <c r="J40" s="23" t="n"/>
      <c r="K40" s="23" t="n"/>
      <c r="L40" s="23" t="n"/>
      <c r="M40" s="23" t="n"/>
      <c r="N40" s="23" t="n"/>
    </row>
    <row r="41">
      <c r="B41" s="32" t="n">
        <v>6</v>
      </c>
      <c r="C41" s="33" t="n">
        <v>13660000</v>
      </c>
    </row>
    <row r="42">
      <c r="B42" s="32" t="n">
        <v>8</v>
      </c>
      <c r="C42" s="33" t="n">
        <v>13300000</v>
      </c>
    </row>
    <row r="43">
      <c r="B43" s="32" t="n">
        <v>12</v>
      </c>
      <c r="C43" s="33" t="n">
        <v>10080000</v>
      </c>
    </row>
  </sheetData>
  <mergeCells count="12">
    <mergeCell ref="B10:D10"/>
    <mergeCell ref="B4:L4"/>
    <mergeCell ref="B11:D11"/>
    <mergeCell ref="B14:D14"/>
    <mergeCell ref="B37:J37"/>
    <mergeCell ref="B15:L15"/>
    <mergeCell ref="B8:D8"/>
    <mergeCell ref="B3:L3"/>
    <mergeCell ref="B9:D9"/>
    <mergeCell ref="B13:D13"/>
    <mergeCell ref="B12:D12"/>
    <mergeCell ref="B7:D7"/>
  </mergeCells>
  <pageMargins left="0.75" right="0.75" top="1" bottom="1" header="0.511811023622047" footer="0.511811023622047"/>
  <pageSetup orientation="landscape" fitToHeight="0" horizontalDpi="300" verticalDpi="300"/>
</worksheet>
</file>

<file path=xl/worksheets/sheet14.xml><?xml version="1.0" encoding="utf-8"?>
<worksheet xmlns="http://schemas.openxmlformats.org/spreadsheetml/2006/main">
  <sheetPr>
    <outlinePr summaryBelow="1" summaryRight="1"/>
    <pageSetUpPr fitToPage="1"/>
  </sheetPr>
  <dimension ref="B2:C31"/>
  <sheetViews>
    <sheetView topLeftCell="A4" zoomScaleNormal="100" workbookViewId="0">
      <selection activeCell="A1" sqref="A1"/>
    </sheetView>
  </sheetViews>
  <sheetFormatPr baseColWidth="8" defaultColWidth="8.6640625" defaultRowHeight="14.4"/>
  <cols>
    <col width="3" customWidth="1" style="45" min="1" max="1"/>
    <col width="4" customWidth="1" style="45" min="2" max="2"/>
    <col width="92" customWidth="1" style="45" min="3" max="3"/>
  </cols>
  <sheetData>
    <row r="2" ht="23.25" customHeight="1" s="45">
      <c r="B2" s="7" t="inlineStr">
        <is>
          <t>PivotTable Tasks — Build These By Hand</t>
        </is>
      </c>
    </row>
    <row r="3" ht="27.75" customHeight="1" s="45">
      <c r="B3" s="36" t="inlineStr">
        <is>
          <t>Deliberately not pre-built. Each PivotTable lands on its own new sheet when you insert it — that's normal Excel behavior, not a mistake.</t>
        </is>
      </c>
    </row>
    <row r="5" ht="17.25" customHeight="1" s="45">
      <c r="B5" s="40" t="inlineStr">
        <is>
          <t>Pivot 1 — Total obligation amount by Provider and Month</t>
        </is>
      </c>
    </row>
    <row r="6" ht="30" customHeight="1" s="45">
      <c r="B6" s="10" t="inlineStr">
        <is>
          <t>1.</t>
        </is>
      </c>
      <c r="C6" s="38" t="inlineStr">
        <is>
          <t>Click any cell inside the Raw_Transactions table.</t>
        </is>
      </c>
    </row>
    <row r="7" ht="30" customHeight="1" s="45">
      <c r="B7" s="10" t="inlineStr">
        <is>
          <t>2.</t>
        </is>
      </c>
      <c r="C7" s="38" t="inlineStr">
        <is>
          <t>Insert tab → PivotTable → New Worksheet → OK.</t>
        </is>
      </c>
    </row>
    <row r="8" ht="30" customHeight="1" s="45">
      <c r="B8" s="10" t="inlineStr">
        <is>
          <t>3.</t>
        </is>
      </c>
      <c r="C8" s="38" t="inlineStr">
        <is>
          <t>Check the box for Provider (lands in Rows).</t>
        </is>
      </c>
    </row>
    <row r="9" ht="30" customHeight="1" s="45">
      <c r="B9" s="10" t="inlineStr">
        <is>
          <t>4.</t>
        </is>
      </c>
      <c r="C9" s="38" t="inlineStr">
        <is>
          <t>Check ExpectedAmount and ActualPaidAmount (land in Values).</t>
        </is>
      </c>
    </row>
    <row r="10" ht="30" customHeight="1" s="45">
      <c r="B10" s="10" t="inlineStr">
        <is>
          <t>5.</t>
        </is>
      </c>
      <c r="C10" s="38" t="inlineStr">
        <is>
          <t>Check DueDate, move it to Columns, then right-click a date in the pivot → Group... → Months.</t>
        </is>
      </c>
    </row>
    <row r="11" ht="30" customHeight="1" s="45">
      <c r="B11" s="10" t="inlineStr">
        <is>
          <t>6.</t>
        </is>
      </c>
      <c r="C11" s="38" t="inlineStr">
        <is>
          <t>Result: a Provider x Month table showing expected vs. actual paid — read across a row to see if a provider's actual total keeps exceeding expected (a late-fee signal).</t>
        </is>
      </c>
    </row>
    <row r="13" ht="17.25" customHeight="1" s="45">
      <c r="B13" s="40" t="inlineStr">
        <is>
          <t>Pivot 2 — Count of customers by Segment</t>
        </is>
      </c>
    </row>
    <row r="14" ht="30" customHeight="1" s="45">
      <c r="B14" s="10" t="inlineStr">
        <is>
          <t>1.</t>
        </is>
      </c>
      <c r="C14" s="38" t="inlineStr">
        <is>
          <t>Click any cell inside the Raw_Customers table.</t>
        </is>
      </c>
    </row>
    <row r="15" ht="30" customHeight="1" s="45">
      <c r="B15" s="10" t="inlineStr">
        <is>
          <t>2.</t>
        </is>
      </c>
      <c r="C15" s="38" t="inlineStr">
        <is>
          <t>Insert → PivotTable → New Worksheet → OK.</t>
        </is>
      </c>
    </row>
    <row r="16" ht="30" customHeight="1" s="45">
      <c r="B16" s="10" t="inlineStr">
        <is>
          <t>3.</t>
        </is>
      </c>
      <c r="C16" s="38" t="inlineStr">
        <is>
          <t>Check Segment (lands in Rows).</t>
        </is>
      </c>
    </row>
    <row r="17" ht="30" customHeight="1" s="45">
      <c r="B17" s="10" t="inlineStr">
        <is>
          <t>4.</t>
        </is>
      </c>
      <c r="C17" s="38" t="inlineStr">
        <is>
          <t>Check CustomerID (lands in Values as Sum) — change it to Count via Value Field Settings.</t>
        </is>
      </c>
    </row>
    <row r="18" ht="30" customHeight="1" s="45">
      <c r="B18" s="10" t="inlineStr">
        <is>
          <t>5.</t>
        </is>
      </c>
      <c r="C18" s="38" t="inlineStr">
        <is>
          <t>Result: how many customers fall into each of the 4 segments. Cross-check this against your Conversion_Funnel numbers — they should match exactly, built two completely different ways.</t>
        </is>
      </c>
    </row>
    <row r="20" ht="17.25" customHeight="1" s="45">
      <c r="B20" s="40" t="inlineStr">
        <is>
          <t>Pivot 3 — Total extra charged (late fees) by Provider</t>
        </is>
      </c>
    </row>
    <row r="21" ht="30" customHeight="1" s="45">
      <c r="B21" s="10" t="inlineStr">
        <is>
          <t>1.</t>
        </is>
      </c>
      <c r="C21" s="38" t="inlineStr">
        <is>
          <t>Click any cell inside the Raw_Transactions table.</t>
        </is>
      </c>
    </row>
    <row r="22" ht="30" customHeight="1" s="45">
      <c r="B22" s="10" t="inlineStr">
        <is>
          <t>2.</t>
        </is>
      </c>
      <c r="C22" s="38" t="inlineStr">
        <is>
          <t>Insert → PivotTable → New Worksheet → OK.</t>
        </is>
      </c>
    </row>
    <row r="23" ht="30" customHeight="1" s="45">
      <c r="B23" s="10" t="inlineStr">
        <is>
          <t>3.</t>
        </is>
      </c>
      <c r="C23" s="38" t="inlineStr">
        <is>
          <t>Check Provider (Rows) and ExtraCharged (Values, Sum).</t>
        </is>
      </c>
    </row>
    <row r="24" ht="30" customHeight="1" s="45">
      <c r="B24" s="10" t="inlineStr">
        <is>
          <t>4.</t>
        </is>
      </c>
      <c r="C24" s="38" t="inlineStr">
        <is>
          <t>Right-click a value in the ExtraCharged column → Sort → Largest to Smallest.</t>
        </is>
      </c>
    </row>
    <row r="25" ht="30" customHeight="1" s="45">
      <c r="B25" s="10" t="inlineStr">
        <is>
          <t>5.</t>
        </is>
      </c>
      <c r="C25" s="38" t="inlineStr">
        <is>
          <t>Result: which provider's late customers generate the most in penalty charges — worth sanity-checking against the Revenue_Model's offer-amount assumption as real data comes in.</t>
        </is>
      </c>
    </row>
    <row r="27" ht="17.25" customHeight="1" s="45">
      <c r="B27" s="40" t="inlineStr">
        <is>
          <t>Pivot 4 — Average offered interest rate by offer Status</t>
        </is>
      </c>
    </row>
    <row r="28" ht="30" customHeight="1" s="45">
      <c r="B28" s="10" t="inlineStr">
        <is>
          <t>1.</t>
        </is>
      </c>
      <c r="C28" s="38" t="inlineStr">
        <is>
          <t>Click any cell inside the Raw_Offers table.</t>
        </is>
      </c>
    </row>
    <row r="29" ht="30" customHeight="1" s="45">
      <c r="B29" s="10" t="inlineStr">
        <is>
          <t>2.</t>
        </is>
      </c>
      <c r="C29" s="38" t="inlineStr">
        <is>
          <t>Insert → PivotTable → New Worksheet → OK.</t>
        </is>
      </c>
    </row>
    <row r="30" ht="30" customHeight="1" s="45">
      <c r="B30" s="10" t="inlineStr">
        <is>
          <t>3.</t>
        </is>
      </c>
      <c r="C30" s="38" t="inlineStr">
        <is>
          <t>Check Status (Rows) and OfferedRatePct (Values) — change from Sum to Average via Value Field Settings.</t>
        </is>
      </c>
    </row>
    <row r="31" ht="30" customHeight="1" s="45">
      <c r="B31" s="10" t="inlineStr">
        <is>
          <t>4.</t>
        </is>
      </c>
      <c r="C31" s="38" t="inlineStr">
        <is>
          <t>Result: does the average offered rate differ between Accepted and Declined offers? A real signal for whether the interest rate itself is a factor in acceptance, worth a line in your Key_Insights.</t>
        </is>
      </c>
    </row>
  </sheetData>
  <mergeCells count="5">
    <mergeCell ref="B13:C13"/>
    <mergeCell ref="B3:C3"/>
    <mergeCell ref="B5:C5"/>
    <mergeCell ref="B20:C20"/>
    <mergeCell ref="B27:C27"/>
  </mergeCells>
  <pageMargins left="0.75" right="0.75" top="1" bottom="1" header="0.511811023622047" footer="0.511811023622047"/>
  <pageSetup orientation="landscape" fitToHeight="0" horizontalDpi="300" verticalDpi="300"/>
</worksheet>
</file>

<file path=xl/worksheets/sheet15.xml><?xml version="1.0" encoding="utf-8"?>
<worksheet xmlns="http://schemas.openxmlformats.org/spreadsheetml/2006/main">
  <sheetPr>
    <outlinePr summaryBelow="1" summaryRight="1"/>
    <pageSetUpPr fitToPage="1"/>
  </sheetPr>
  <dimension ref="B2:B18"/>
  <sheetViews>
    <sheetView topLeftCell="A7" zoomScaleNormal="100" workbookViewId="0">
      <selection activeCell="F10" sqref="F10"/>
    </sheetView>
  </sheetViews>
  <sheetFormatPr baseColWidth="8" defaultColWidth="8.6640625" defaultRowHeight="14.4"/>
  <cols>
    <col width="3" customWidth="1" style="45" min="1" max="1"/>
    <col width="90" customWidth="1" style="45" min="2" max="2"/>
  </cols>
  <sheetData>
    <row r="2" ht="23.25" customHeight="1" s="45">
      <c r="B2" s="7" t="inlineStr">
        <is>
          <t>Key Insights</t>
        </is>
      </c>
    </row>
    <row r="3" ht="30" customHeight="1" s="45">
      <c r="B3" s="37" t="inlineStr">
        <is>
          <t>Your own written interpretation, once every sheet above is built. This is the raw material for your portfolio case-study narrative — write it in your own words, not as a data dump.</t>
        </is>
      </c>
    </row>
    <row r="5" ht="33.75" customHeight="1" s="45">
      <c r="B5" s="34" t="inlineStr">
        <is>
          <t>1. What % of customers are currently "stacked" across 2+ providers? What does that suggest about how common the debt-stacking problem is in this data?</t>
        </is>
      </c>
    </row>
    <row r="6" ht="69.75" customHeight="1" s="45">
      <c r="B6" s="35" t="inlineStr">
        <is>
          <t>"60% of customers in this dataset are currently "stacked" across 2 or more BNPL providers. This means debt-stacking isn't a rare edge case — it's the majority situation among BNPL users in this sample, which suggests the problem is widespread enough to justify building a dedicated product for it, rather than treating it as a niche risk affecting only a small group of customers.</t>
        </is>
      </c>
    </row>
    <row r="8" ht="33.75" customHeight="1" s="45">
      <c r="B8" s="34" t="inlineStr">
        <is>
          <t>2. Which provider generates the most in late fees (Pivot 3)? Why might that matter in a partnership or negotiation conversation with that provider?</t>
        </is>
      </c>
    </row>
    <row r="9" ht="72.75" customHeight="1" s="45">
      <c r="B9" s="35" t="inlineStr">
        <is>
          <t>"Shopee SPayLater generates the highest late fees (1,175 THB), making it both our biggest opportunity and our toughest partner to negotiate with. Its customers would benefit the most from our auto-pay feature, making it a strong first target. But Shopee SPayLater currently earns revenue from those late fees, so it may resist a product designed to eliminate them — meaning we'd likely need to offer them something in return. Since our revenue comes entirely from B2B bank licensing (not any consumer fee), there's no subscription revenue to share with a provider directly — a more realistic lever would be non-monetary: co-marketing them as the more responsible/consumer-friendly provider, or sharing anonymized portfolio-quality insights that help their own underwriting."</t>
        </is>
      </c>
    </row>
    <row r="11" ht="33.75" customHeight="1" s="45">
      <c r="B11" s="34" t="inlineStr">
        <is>
          <t>3. In your Revenue_Model, which single assumption would change Total Revenue the most if it turned out to be wrong? (This is literally what your sensitivity analysis table is for.)</t>
        </is>
      </c>
    </row>
    <row r="12" ht="114.75" customHeight="1" s="45">
      <c r="B12" s="35" t="inlineStr">
        <is>
          <t>The single biggest swing on Year-1 Total Revenue is not a price at all — it’s the Tier 1 sales-cycle pace (how many months pass between each new large-bank signing). Tested against every other assumption in the model (both tiers’ setup fees, both tiers’ monthly license fees, Tier 2 pace), sales-cycle pace has the widest range: Year-1 revenue swings from about 10.1M THB (a signing every 12 months) to about 17.2M THB (a signing every 4 months) — a 71% spread. That’s because the Tier 1 addressable market (6 banks) is never reached within Year 1 regardless of pace, so the real constraint isn’t how much each bank pays, it’s how fast enterprise bank deals actually close. That makes B2B sales execution speed the single highest-risk number in this model — more important than getting the license price exactly right.</t>
        </is>
      </c>
    </row>
    <row r="14" ht="33.75" customHeight="1" s="45">
      <c r="B14" s="34" t="inlineStr">
        <is>
          <t>4. Does the offered interest rate look like it affects whether customers accept the consolidation offer (Pivot 4)? What would you want to test next if this were real data?</t>
        </is>
      </c>
    </row>
    <row r="15" ht="88.5" customHeight="1" s="45">
      <c r="B15" s="35" t="inlineStr">
        <is>
          <t>The gap between Accepted (15%) and Declined (14%) offers is only 1 percentage point, which is too small to conclude that interest rate meaningfully affects acceptance — especially with such a small number of offers in this dataset. A 1-point difference could easily be random noise rather than a real pattern. If this were real data, I'd want a much larger sample of offers before drawing any conclusion, and I'd also want to test interest rate alongside other factors — like debt-to-income ratio or credit score — since acceptance is more likely driven by whether the customer can actually afford the offer, not the rate alone.</t>
        </is>
      </c>
    </row>
    <row r="17" ht="33.75" customHeight="1" s="45">
      <c r="B17" s="34" t="inlineStr">
        <is>
          <t>5. One paragraph, written the way you'd want a recruiter to read it: what problem does this analysis solve, and what's the headline number?</t>
        </is>
      </c>
    </row>
    <row r="18" ht="159.75" customHeight="1" s="45">
      <c r="B18" s="35" t="inlineStr">
        <is>
          <t>This project tackles a real, growing problem in Thailand's BNPL market: because providers like Atome, SPayLater, and TrueMoney don't share data with each other, customers can rack up debt across multiple platforms with no single lender realizing how overextended they are. Analyzing a sample of BNPL users, I found that 60% were already "stacked" across two or more providers — a number I verified two independent ways (SQL-style funnel logic and a PivotTable) to make sure it wasn't a fluke. Late fees from missed payments totaled 2,340 THB across just five providers in this sample, showing real money is being lost to timing mistakes, not just bad debt. My proposed solution — an app that auto-pays BNPL bills on time and offers credit-checked debt consolidation only to customers who can actually afford it — is free for every consumer; the business model licenses the technology to banks instead, and my revenue model forecasts 13.7M THB in Year-1 B2B revenue from just 6 banks signed (2 large, 4 mid-size) out of 13 realistically addressable. A sensitivity analysis shows the single highest-risk number isn't the license price — it's how fast enterprise bank sales cycles actually close, which can swing that Year-1 forecast by more than 70%.</t>
        </is>
      </c>
    </row>
  </sheetData>
  <pageMargins left="0.75" right="0.75" top="1" bottom="1" header="0.511811023622047" footer="0.511811023622047"/>
  <pageSetup orientation="landscape"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2026-09-12T15:22:39Z</dcterms:created>
  <dcterms:modified xmlns:dcterms="http://purl.org/dc/terms/" xmlns:xsi="http://www.w3.org/2001/XMLSchema-instance" xsi:type="dcterms:W3CDTF">2026-09-28T06:45:40Z</dcterms:modified>
  <cp:lastModifiedBy>Tankhun Luengchaicharn</cp:lastModifiedBy>
  <cp:revision>0</cp:revision>
</cp:coreProperties>
</file>
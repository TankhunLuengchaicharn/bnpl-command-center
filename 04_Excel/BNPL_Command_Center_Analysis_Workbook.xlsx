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OneDrive\Desktop\Projects\BA_DA_BNPL_COMMAND_CENTER\04_Excel\"/>
    </mc:Choice>
  </mc:AlternateContent>
  <xr:revisionPtr revIDLastSave="0" documentId="13_ncr:1_{FEDEAA61-A189-4792-B32F-460DDC85408D}" xr6:coauthVersionLast="47" xr6:coauthVersionMax="47" xr10:uidLastSave="{00000000-0000-0000-0000-000000000000}"/>
  <bookViews>
    <workbookView xWindow="-108" yWindow="-108" windowWidth="23256" windowHeight="13896" tabRatio="500" firstSheet="7" activeTab="10" xr2:uid="{00000000-000D-0000-FFFF-FFFF00000000}"/>
  </bookViews>
  <sheets>
    <sheet name="Read Me" sheetId="1" r:id="rId1"/>
    <sheet name="Data_Dictionary" sheetId="2" r:id="rId2"/>
    <sheet name="Pivot1" sheetId="3" r:id="rId3"/>
    <sheet name="Pivot2" sheetId="6" r:id="rId4"/>
    <sheet name="Pivot3" sheetId="4" r:id="rId5"/>
    <sheet name="Pivot4" sheetId="8" r:id="rId6"/>
    <sheet name="Raw_Transactions" sheetId="5" r:id="rId7"/>
    <sheet name="Raw_Customers" sheetId="7" r:id="rId8"/>
    <sheet name="Raw_Offers" sheetId="9" r:id="rId9"/>
    <sheet name="Data_Quality_QA" sheetId="10" r:id="rId10"/>
    <sheet name="Customer_Lookup" sheetId="11" r:id="rId11"/>
    <sheet name="Conversion_Funnel" sheetId="12" r:id="rId12"/>
    <sheet name="Revenue_Model" sheetId="13" r:id="rId13"/>
    <sheet name="PivotTable_Tasks" sheetId="14" r:id="rId14"/>
    <sheet name="Key_Insights" sheetId="15" r:id="rId15"/>
  </sheets>
  <calcPr calcId="191029" iterateDelta="1E-4"/>
  <pivotCaches>
    <pivotCache cacheId="3" r:id="rId16"/>
    <pivotCache cacheId="1" r:id="rId17"/>
    <pivotCache cacheId="2"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1" i="11" l="1"/>
  <c r="C14" i="10" a="1"/>
  <c r="C14" i="10" s="1"/>
  <c r="C7" i="10"/>
  <c r="C11" i="11"/>
  <c r="C12" i="11"/>
  <c r="C10" i="11"/>
  <c r="C9" i="11"/>
  <c r="C8" i="11"/>
  <c r="E19" i="11"/>
  <c r="B22" i="13"/>
  <c r="B23" i="13" s="1"/>
  <c r="B21" i="13"/>
  <c r="F21" i="13" s="1"/>
  <c r="D21" i="13" s="1"/>
  <c r="F20" i="13"/>
  <c r="D20" i="13" s="1"/>
  <c r="E20" i="13"/>
  <c r="C20" i="13" s="1"/>
  <c r="G20" i="13" s="1"/>
  <c r="B20" i="13"/>
  <c r="C10" i="12"/>
  <c r="D10" i="12" s="1"/>
  <c r="C9" i="12"/>
  <c r="D9" i="12" s="1"/>
  <c r="C8" i="12"/>
  <c r="D8" i="12" s="1"/>
  <c r="C7" i="12"/>
  <c r="D7" i="12" s="1"/>
  <c r="D6" i="12"/>
  <c r="C6" i="12"/>
  <c r="E23" i="11"/>
  <c r="D23" i="11"/>
  <c r="C23" i="11"/>
  <c r="E22" i="11"/>
  <c r="D22" i="11"/>
  <c r="C22" i="11"/>
  <c r="D21" i="11"/>
  <c r="C21" i="11"/>
  <c r="E20" i="11"/>
  <c r="D20" i="11"/>
  <c r="C20" i="11"/>
  <c r="D19" i="11"/>
  <c r="C19" i="11"/>
  <c r="E18" i="11"/>
  <c r="D18" i="11"/>
  <c r="C18" i="11"/>
  <c r="C7" i="11"/>
  <c r="C26" i="10" a="1"/>
  <c r="C26" i="10" s="1"/>
  <c r="C25" i="10" a="1"/>
  <c r="C25" i="10" s="1"/>
  <c r="C21" i="10"/>
  <c r="C20" i="10"/>
  <c r="C19" i="10"/>
  <c r="C18" i="10"/>
  <c r="C13" i="10" a="1"/>
  <c r="C13" i="10" s="1"/>
  <c r="C9" i="10"/>
  <c r="C8" i="10"/>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J2" i="5"/>
  <c r="F23" i="13" l="1"/>
  <c r="D23" i="13" s="1"/>
  <c r="E23" i="13"/>
  <c r="B24" i="13"/>
  <c r="H20" i="13"/>
  <c r="E22" i="13"/>
  <c r="F22" i="13"/>
  <c r="D22" i="13" s="1"/>
  <c r="E21" i="13"/>
  <c r="H22" i="13" l="1"/>
  <c r="C22" i="13"/>
  <c r="G22" i="13" s="1"/>
  <c r="B25" i="13"/>
  <c r="F24" i="13"/>
  <c r="D24" i="13" s="1"/>
  <c r="E24" i="13"/>
  <c r="I20" i="13"/>
  <c r="H21" i="13"/>
  <c r="C21" i="13"/>
  <c r="G21" i="13" s="1"/>
  <c r="C23" i="13"/>
  <c r="G23" i="13" s="1"/>
  <c r="H23" i="13"/>
  <c r="I21" i="13" l="1"/>
  <c r="I23" i="13"/>
  <c r="B26" i="13"/>
  <c r="F25" i="13"/>
  <c r="D25" i="13" s="1"/>
  <c r="E25" i="13"/>
  <c r="I22" i="13"/>
  <c r="H24" i="13"/>
  <c r="C24" i="13"/>
  <c r="G24" i="13" s="1"/>
  <c r="I24" i="13" s="1"/>
  <c r="H25" i="13" l="1"/>
  <c r="C25" i="13"/>
  <c r="G25" i="13" s="1"/>
  <c r="I25" i="13" s="1"/>
  <c r="F26" i="13"/>
  <c r="D26" i="13" s="1"/>
  <c r="E26" i="13"/>
  <c r="B27" i="13"/>
  <c r="C26" i="13" l="1"/>
  <c r="G26" i="13" s="1"/>
  <c r="H26" i="13"/>
  <c r="B28" i="13"/>
  <c r="F27" i="13"/>
  <c r="D27" i="13" s="1"/>
  <c r="E27" i="13"/>
  <c r="H27" i="13" l="1"/>
  <c r="C27" i="13"/>
  <c r="G27" i="13" s="1"/>
  <c r="I27" i="13" s="1"/>
  <c r="B29" i="13"/>
  <c r="F28" i="13"/>
  <c r="D28" i="13" s="1"/>
  <c r="E28" i="13"/>
  <c r="I26" i="13"/>
  <c r="H28" i="13" l="1"/>
  <c r="C28" i="13"/>
  <c r="G28" i="13" s="1"/>
  <c r="F29" i="13"/>
  <c r="D29" i="13" s="1"/>
  <c r="E29" i="13"/>
  <c r="B30" i="13"/>
  <c r="B31" i="13" l="1"/>
  <c r="F30" i="13"/>
  <c r="D30" i="13" s="1"/>
  <c r="E30" i="13"/>
  <c r="C29" i="13"/>
  <c r="G29" i="13" s="1"/>
  <c r="H29" i="13"/>
  <c r="I28" i="13"/>
  <c r="I29" i="13" l="1"/>
  <c r="H30" i="13"/>
  <c r="C30" i="13"/>
  <c r="G30" i="13" s="1"/>
  <c r="I30" i="13" s="1"/>
  <c r="F31" i="13"/>
  <c r="E31" i="13"/>
  <c r="E33" i="13" l="1"/>
  <c r="H31" i="13"/>
  <c r="H33" i="13" s="1"/>
  <c r="C31" i="13"/>
  <c r="F33" i="13"/>
  <c r="D31" i="13"/>
  <c r="G31" i="13" l="1"/>
  <c r="I31" i="13" l="1"/>
  <c r="I33" i="13" s="1"/>
  <c r="G33"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<sst xmlns="http://schemas.openxmlformats.org/spreadsheetml/2006/main" count="624" uniqueCount="275">
  <si>
    <t>BNPL Command Center — Analysis Workbook</t>
  </si>
  <si>
    <t>This is your own portfolio deliverable, not a practice file. Every formula and PivotTable you build here is meant to go straight into your GitHub repo / case study as real evidence of your Excel skill.</t>
  </si>
  <si>
    <t>How this works</t>
  </si>
  <si>
    <t>Everything below is either reference material (already done for you) or a blank section for you to build. Your coach will walk you through each one, business question first, no formula handed over unless you ask.</t>
  </si>
  <si>
    <t>Tab</t>
  </si>
  <si>
    <t>What it's for / Status</t>
  </si>
  <si>
    <t>Data_Dictionary</t>
  </si>
  <si>
    <t>Column-by-column definitions for every raw table. Reference — already done for you.</t>
  </si>
  <si>
    <t>Raw_Transactions / Raw_Customers / Raw_Offers</t>
  </si>
  <si>
    <t>Source data — identical to what your SQL, BRD, and FRD deliverables use. Reference — do not edit.</t>
  </si>
  <si>
    <t>Data_Quality_QA</t>
  </si>
  <si>
    <t>Completeness, uniqueness, validity, and referential-integrity checks on the raw data. YOU BUILD THIS FIRST.</t>
  </si>
  <si>
    <t>Customer_Lookup</t>
  </si>
  <si>
    <t>Pull a full customer profile by ID with INDEX/MATCH, plus a batch lookup with error handling. YOU BUILD THIS.</t>
  </si>
  <si>
    <t>Conversion_Funnel</t>
  </si>
  <si>
    <t>The same 5-stage funnel as SQL Q11, rebuilt with COUNTIF/COUNTIFS. YOU BUILD THIS.</t>
  </si>
  <si>
    <t>Revenue_Model</t>
  </si>
  <si>
    <t>12-month B2B revenue projection (setup fee + tiered monthly license, by bank size) plus a sensitivity analysis table. Rebuilt 2026-09-18 for the locked B2B model — the earlier consumer-subscription version is superseded.</t>
  </si>
  <si>
    <t>PivotTable_Tasks</t>
  </si>
  <si>
    <t>Step-by-step instructions for 4 PivotTables, built by hand. YOU BUILD THESE.</t>
  </si>
  <si>
    <t>Key_Insights</t>
  </si>
  <si>
    <t>Guided prompts — your own written interpretation, for the portfolio case-study narrative. YOU WRITE THIS.</t>
  </si>
  <si>
    <t>Color legend (standard financial-model convention, same as your practice workbook)</t>
  </si>
  <si>
    <t>Blue bold text</t>
  </si>
  <si>
    <t>An input value already provided. You can change it to test scenarios, but it's not something you calculate.</t>
  </si>
  <si>
    <t>Yellow fill</t>
  </si>
  <si>
    <t>A key assumption worth double-checking before trusting the model.</t>
  </si>
  <si>
    <t>Green fill</t>
  </si>
  <si>
    <t>BLANK — this is where you build a formula. Nothing is pre-filled here on purpose.</t>
  </si>
  <si>
    <t>Black text</t>
  </si>
  <si>
    <t>A completed formula, once you've filled one in. Never type a hardcoded number where a formula belongs.</t>
  </si>
  <si>
    <t>Note: this workbook uses the exact same sample data as your SQL and BRD/FRD deliverables, so any number you calculate here should match what SQL gives you for the same question — a good way to self-check your work.</t>
  </si>
  <si>
    <t>Data Dictionary</t>
  </si>
  <si>
    <t>Reference only — column definitions for every raw table used across this whole portfolio.</t>
  </si>
  <si>
    <t>Table</t>
  </si>
  <si>
    <t>Column</t>
  </si>
  <si>
    <t>Type</t>
  </si>
  <si>
    <t>Description</t>
  </si>
  <si>
    <t>Raw_Transactions</t>
  </si>
  <si>
    <t>ObligationID</t>
  </si>
  <si>
    <t>Number</t>
  </si>
  <si>
    <t>Unique ID for one installment cycle — one customer's one payment due on one date.</t>
  </si>
  <si>
    <t>CustomerID</t>
  </si>
  <si>
    <t>Foreign key to Raw_Customers.</t>
  </si>
  <si>
    <t>CustomerName</t>
  </si>
  <si>
    <t>Text</t>
  </si>
  <si>
    <t>Customer's full name (denormalized for convenience).</t>
  </si>
  <si>
    <t>Provider</t>
  </si>
  <si>
    <t>BNPL provider for this obligation (Atome, Shopee SPayLater, Grab PayLater, LazPayLater, TrueMoney Next).</t>
  </si>
  <si>
    <t>DueDate</t>
  </si>
  <si>
    <t>Date</t>
  </si>
  <si>
    <t>When this installment was due.</t>
  </si>
  <si>
    <t>ExpectedAmount</t>
  </si>
  <si>
    <t>Currency (THB)</t>
  </si>
  <si>
    <t>Scheduled installment amount.</t>
  </si>
  <si>
    <t>ActualPaidAmount</t>
  </si>
  <si>
    <t>What the customer actually paid.</t>
  </si>
  <si>
    <t>DaysLate</t>
  </si>
  <si>
    <t>Days past due. 0 = on time.</t>
  </si>
  <si>
    <t>Cycle</t>
  </si>
  <si>
    <t>Which installment number this is for that specific purchase (1st, 2nd, 3rd payment...).</t>
  </si>
  <si>
    <t>ExtraCharged</t>
  </si>
  <si>
    <t>Currency (THB), formula</t>
  </si>
  <si>
    <t>ActualPaidAmount − ExpectedAmount. Positive = late fee/overage.</t>
  </si>
  <si>
    <t>Raw_Customers</t>
  </si>
  <si>
    <t>Unique customer identifier.</t>
  </si>
  <si>
    <t>FullName</t>
  </si>
  <si>
    <t>Customer's full name.</t>
  </si>
  <si>
    <t>MonthlyIncome</t>
  </si>
  <si>
    <t>Verified monthly income.</t>
  </si>
  <si>
    <t>CreditScore</t>
  </si>
  <si>
    <t>Credit score. Blank/0 = never screened (no late-payment signal yet).</t>
  </si>
  <si>
    <t>DSR_Pct</t>
  </si>
  <si>
    <t>Percent</t>
  </si>
  <si>
    <t>Debt Service Ratio — % of income already committed to debt payments.</t>
  </si>
  <si>
    <t>EligibilityOutcome</t>
  </si>
  <si>
    <t>Eligible / Not Eligible / Not Screened — result of the credit/DSR check.</t>
  </si>
  <si>
    <t>Segment</t>
  </si>
  <si>
    <t>Stacked - at risk / Stacked - healthy / Single provider / Not a BNPL user.</t>
  </si>
  <si>
    <t>Raw_Offers</t>
  </si>
  <si>
    <t>OfferDate</t>
  </si>
  <si>
    <t>When the consolidation loan offer was made.</t>
  </si>
  <si>
    <t>TotalAmount</t>
  </si>
  <si>
    <t>Total consolidation loan amount offered.</t>
  </si>
  <si>
    <t>OfferedRatePct</t>
  </si>
  <si>
    <t>Annual interest rate offered on the consolidation loan.</t>
  </si>
  <si>
    <t>MonthlyPayment</t>
  </si>
  <si>
    <t>Monthly payment amount for the consolidation loan.</t>
  </si>
  <si>
    <t>Status</t>
  </si>
  <si>
    <t>Accepted / Declined.</t>
  </si>
  <si>
    <t>Sum of ExpectedAmount</t>
  </si>
  <si>
    <t>Sum of ActualPaidAmount</t>
  </si>
  <si>
    <t>Atome</t>
  </si>
  <si>
    <t>Grab PayLater</t>
  </si>
  <si>
    <t>LazPayLater</t>
  </si>
  <si>
    <t>Shopee SPayLater</t>
  </si>
  <si>
    <t>TrueMoney Next</t>
  </si>
  <si>
    <t>Total Result</t>
  </si>
  <si>
    <t>Sum of ExtraCharged</t>
  </si>
  <si>
    <t>Somchai Jaidee</t>
  </si>
  <si>
    <t>Suda Panyawong</t>
  </si>
  <si>
    <t>Anan Chaiyaporn</t>
  </si>
  <si>
    <t>Nittaya Wongsawat</t>
  </si>
  <si>
    <t>Kittipong Srisuk</t>
  </si>
  <si>
    <t>Wanida Boonmee</t>
  </si>
  <si>
    <t>Prasert Rattanakul</t>
  </si>
  <si>
    <t>Malee Thongdee</t>
  </si>
  <si>
    <t>Chatchai Kiatkamon</t>
  </si>
  <si>
    <t>Pornthip Suksawat</t>
  </si>
  <si>
    <t>Wichai Amnuayporn</t>
  </si>
  <si>
    <t>Siriporn Nakornthap</t>
  </si>
  <si>
    <t>Boonsong Meechai</t>
  </si>
  <si>
    <t>Amporn Silpachai</t>
  </si>
  <si>
    <t>Somsak Pattaraporn</t>
  </si>
  <si>
    <t>Kanya Ruangrit</t>
  </si>
  <si>
    <t>Count of CustomerID</t>
  </si>
  <si>
    <t>Not a BNPL user</t>
  </si>
  <si>
    <t>Single provider</t>
  </si>
  <si>
    <t>Stacked - at risk</t>
  </si>
  <si>
    <t>Stacked - healthy</t>
  </si>
  <si>
    <t>Eligible</t>
  </si>
  <si>
    <t>Not Screened</t>
  </si>
  <si>
    <t>Not Eligible</t>
  </si>
  <si>
    <t>Direk Wattanasin</t>
  </si>
  <si>
    <t>Ratana Chotisiri</t>
  </si>
  <si>
    <t>Sombat Uthairat</t>
  </si>
  <si>
    <t>Wassana Intharaphan</t>
  </si>
  <si>
    <t>Average of OfferedRatePct</t>
  </si>
  <si>
    <t>Accepted</t>
  </si>
  <si>
    <t>Declined</t>
  </si>
  <si>
    <t>Data Quality &amp; QA Checks</t>
  </si>
  <si>
    <t>Before you trust a single number in the sheets that follow, check the raw data itself. This is the step a real BA/DA does first and a reviewer will specifically look for — skipping it is the most common portfolio red flag.</t>
  </si>
  <si>
    <t>A. Completeness — are there blanks where there shouldn't be?</t>
  </si>
  <si>
    <t>Check</t>
  </si>
  <si>
    <t>Result</t>
  </si>
  <si>
    <t>Expected</t>
  </si>
  <si>
    <t>How to check it</t>
  </si>
  <si>
    <t>Blank CustomerID rows in Raw_Transactions</t>
  </si>
  <si>
    <t>Expect: 0</t>
  </si>
  <si>
    <t>COUNTBLANK on the CustomerID column.</t>
  </si>
  <si>
    <t>Blank ExpectedAmount or ActualPaidAmount in Raw_Transactions</t>
  </si>
  <si>
    <t>COUNTBLANK on each amount column, then add them together.</t>
  </si>
  <si>
    <t>Blank FullName in Raw_Customers</t>
  </si>
  <si>
    <t>COUNTBLANK on the FullName column.</t>
  </si>
  <si>
    <t>B. Uniqueness — is anything duplicated that shouldn't be?</t>
  </si>
  <si>
    <t>Duplicate ObligationID in Raw_Transactions</t>
  </si>
  <si>
    <t>COUNTIF each ObligationID against the whole column; count how many come back &gt; 1.</t>
  </si>
  <si>
    <t>Duplicate CustomerID in Raw_Customers</t>
  </si>
  <si>
    <t>Same pattern — a customer should only appear once in Raw_Customers.</t>
  </si>
  <si>
    <t>C. Validity — are values inside a believable range?</t>
  </si>
  <si>
    <t>Negative ExpectedAmount or ActualPaidAmount in Raw_Transactions</t>
  </si>
  <si>
    <t>COUNTIF each amount column for "&lt;0".</t>
  </si>
  <si>
    <t>Negative DaysLate in Raw_Transactions</t>
  </si>
  <si>
    <t>COUNTIF DaysLate for "&lt;0" — you can't be late by a negative number of days.</t>
  </si>
  <si>
    <t>CreditScore outside 300–850 (excluding 0 = not screened)</t>
  </si>
  <si>
    <t>COUNTIFS with two conditions: CreditScore &lt;&gt; 0 AND (CreditScore &lt; 300 OR CreditScore &gt; 850). Think about why 0 has to be excluded here, not treated as invalid.</t>
  </si>
  <si>
    <t>DSR_Pct above 100%</t>
  </si>
  <si>
    <t>Expect: 0 (or investigate if not)</t>
  </si>
  <si>
    <t>COUNTIF DSR_Pct for "&gt;1". A DSR over 100% is possible in real life but worth a second look.</t>
  </si>
  <si>
    <t>D. Referential integrity — does every foreign key actually exist?</t>
  </si>
  <si>
    <t>CustomerIDs in Raw_Transactions with no match in Raw_Customers</t>
  </si>
  <si>
    <t>COUNTIF Raw_Customers!A:A for each CustomerID in Raw_Transactions; count how many return 0 matches. SUMPRODUCT is the cleanest way to do this as a single array formula.</t>
  </si>
  <si>
    <t>CustomerIDs in Raw_Offers with no match in Raw_Customers</t>
  </si>
  <si>
    <t>Same pattern as above, applied to Raw_Offers.</t>
  </si>
  <si>
    <t>If anything here doesn't come back at the expected result, don't quietly fix the raw data and move on — write down what you found and how you'd handle it in real life (flag to the data source? drop the row? cap the value?). That judgment call is worth more to a reviewer than a clean-looking spreadsheet.</t>
  </si>
  <si>
    <t>Customer Lookup</t>
  </si>
  <si>
    <t>Pull a full customer profile by ID. Build every formula in column C — nothing is pre-filled.</t>
  </si>
  <si>
    <t>A. Single customer profile</t>
  </si>
  <si>
    <t>Enter a Customer ID:</t>
  </si>
  <si>
    <t>Full Name</t>
  </si>
  <si>
    <t>Use INDEX/MATCH against Raw_Customers.</t>
  </si>
  <si>
    <t>Monthly Income</t>
  </si>
  <si>
    <t>Same pattern, different column.</t>
  </si>
  <si>
    <t>Credit Score</t>
  </si>
  <si>
    <t>Remember: 0 means never screened, not missing data.</t>
  </si>
  <si>
    <t>Same pattern again.</t>
  </si>
  <si>
    <t>Eligibility Outcome</t>
  </si>
  <si>
    <t>Text field — same INDEX/MATCH pattern works for text too.</t>
  </si>
  <si>
    <t>Same pattern.</t>
  </si>
  <si>
    <t>B. Batch lookup with error handling</t>
  </si>
  <si>
    <t>Use IFERROR so a missing Customer ID shows a clean message instead of a raw error code. One ID below (999) doesn't exist in Raw_Customers on purpose.</t>
  </si>
  <si>
    <t>Found?</t>
  </si>
  <si>
    <t>Conversion Funnel</t>
  </si>
  <si>
    <t>Same 5-stage funnel as your SQL deliverable's Q11 — same source data, same numbers, different tool.</t>
  </si>
  <si>
    <t>Funnel Stage</t>
  </si>
  <si>
    <t>Count</t>
  </si>
  <si>
    <t>% of Total</t>
  </si>
  <si>
    <t>What to count</t>
  </si>
  <si>
    <t>Stage 1: Total Customers</t>
  </si>
  <si>
    <t>Every row in Raw_Customers. Think COUNTA.</t>
  </si>
  <si>
    <t>Stage 2: Stacked (2+ providers)</t>
  </si>
  <si>
    <t>Segment starts with "Stacked" — wildcard match needed.</t>
  </si>
  <si>
    <t>Stage 3: Stacked + Late Signal</t>
  </si>
  <si>
    <t>Segment is exactly "Stacked - at risk".</t>
  </si>
  <si>
    <t>Stage 4: Passed Credit Screening</t>
  </si>
  <si>
    <t>EligibilityOutcome equals "Eligible", in Raw_Customers.</t>
  </si>
  <si>
    <t>Stage 5: Accepted Consolidation Offer</t>
  </si>
  <si>
    <t>Status equals "Accepted", but this one's in Raw_Offers, not Raw_Customers.</t>
  </si>
  <si>
    <t>Tip: %-of-total should always divide by Stage 1's count, and that reference should be locked with $ so it doesn't shift as you copy the formula down.</t>
  </si>
  <si>
    <t>12-Month Revenue Projection</t>
  </si>
  <si>
    <t>Every number below should be a formula referencing the blue/yellow assumption cells. Nothing should ever be a typed-in result — that's what makes this a real model, not a report.</t>
  </si>
  <si>
    <t>Updated 2026-09-18: rebuilt for the LOCKED B2B licensing model — the consumer app (Dashboard + Auto-Pay) is 100% free with zero consumer subscription or interest revenue. The only revenue line is B2B: partner banks pay a one-time setup fee plus a recurring monthly license fee, tiered by bank size. See business_model_pivot_decisions.md, decisions #4 and #5.</t>
  </si>
  <si>
    <t>Assumptions</t>
  </si>
  <si>
    <t>Tier 1 addressable banks (Big 6 by assets — KBank, SCB, BBL, KTB, Krungsri, TTB; each &gt;THB 1.5tn in total assets)</t>
  </si>
  <si>
    <t>Tier 2 addressable banks (mid-size domestic — TISCO, Kiatnakin Phatra, CIMB Thai, LH Bank, UOB (Thai), Standard Chartered (Thai), ICBC (Thai))</t>
  </si>
  <si>
    <t>Tier 1 one-time setup / integration fee (THB)</t>
  </si>
  <si>
    <t>Tier 2 one-time setup / integration fee (THB)</t>
  </si>
  <si>
    <t>Tier 1 recurring monthly license fee (THB)</t>
  </si>
  <si>
    <t>Tier 2 recurring monthly license fee (THB)</t>
  </si>
  <si>
    <t>Months between each new Tier 1 bank signing (sales-cycle pace)</t>
  </si>
  <si>
    <t>Months between each new Tier 2 bank signing (sales-cycle pace)</t>
  </si>
  <si>
    <t>Assumption basis: Tier 1/Tier 2 bank counts and the Big-6 cut-off are grounded in published total-assets data for Thailand's 18 domestically-registered commercial banks (Wikipedia list of banks in Thailand; Statrys, “Top 6 Banks in Thailand,” 2026 — KBank ~THB 4.37tn, BBL ~THB 3.88tn, KTB ~THB 3.71tn, SCB ~THB 3.41tn, Krungsri ~THB 2.47tn, TTB ~THB 1.78tn; 3 state policy banks and 2 niche/specialized banks excluded as unrealistic near-term licensees). Setup fees, monthly license fees, and sales-cycle pace have no public Thai B2B-fintech benchmark to cite — they are this model's own scenario assumptions (yellow fill), sized directionally against typical enterprise core-banking/fintech vendor deal structures, and should be the first cells challenged or adjusted if better numbers become available.</t>
  </si>
  <si>
    <t>Month</t>
  </si>
  <si>
    <t>New Tier 1
Signed</t>
  </si>
  <si>
    <t>New Tier 2
Signed</t>
  </si>
  <si>
    <t>Cumulative
Tier 1 Live</t>
  </si>
  <si>
    <t>Cumulative
Tier 2 Live</t>
  </si>
  <si>
    <t>Setup Revenue
(THB)</t>
  </si>
  <si>
    <t>Recurring License
Revenue (THB)</t>
  </si>
  <si>
    <t>Total Monthly
Revenue (THB)</t>
  </si>
  <si>
    <t>Total / Year-1 close</t>
  </si>
  <si>
    <t>Sensitivity Analysis</t>
  </si>
  <si>
    <t>Change the Tier 1 sales-cycle pace assumption above (E13, months between each new Tier 1 bank signing) to each value below, and record what Year-1 Total Revenue (column I, Total row) becomes each time. Tested against every other assumption in this model, sales-cycle pace has the single largest swing on Year-1 revenue — bigger than either tier's pricing. That makes sense: the Tier 1 addressable cap (6 banks) is never reached within 12 months regardless of pace, so how fast enterprise bank deals actually close is the real bottleneck on Year-1 revenue, not the price charged once a deal closes. This is the manual version of sensitivity analysis — Excel's What-If Analysis → Data Table feature can automate this once you're comfortable with the basics.</t>
  </si>
  <si>
    <t>Tier 1 Sales-Cycle Pace Scenario (months between signings)</t>
  </si>
  <si>
    <t>Resulting Year-1 Total Revenue (THB)</t>
  </si>
  <si>
    <t>PivotTable Tasks — Build These By Hand</t>
  </si>
  <si>
    <t>Deliberately not pre-built. Each PivotTable lands on its own new sheet when you insert it — that's normal Excel behavior, not a mistake.</t>
  </si>
  <si>
    <t>Pivot 1 — Total obligation amount by Provider and Month</t>
  </si>
  <si>
    <t>1.</t>
  </si>
  <si>
    <t>Click any cell inside the Raw_Transactions table.</t>
  </si>
  <si>
    <t>2.</t>
  </si>
  <si>
    <t>Insert tab → PivotTable → New Worksheet → OK.</t>
  </si>
  <si>
    <t>3.</t>
  </si>
  <si>
    <t>Check the box for Provider (lands in Rows).</t>
  </si>
  <si>
    <t>4.</t>
  </si>
  <si>
    <t>Check ExpectedAmount and ActualPaidAmount (land in Values).</t>
  </si>
  <si>
    <t>5.</t>
  </si>
  <si>
    <t>Check DueDate, move it to Columns, then right-click a date in the pivot → Group... → Months.</t>
  </si>
  <si>
    <t>6.</t>
  </si>
  <si>
    <t>Result: a Provider x Month table showing expected vs. actual paid — read across a row to see if a provider's actual total keeps exceeding expected (a late-fee signal).</t>
  </si>
  <si>
    <t>Pivot 2 — Count of customers by Segment</t>
  </si>
  <si>
    <t>Click any cell inside the Raw_Customers table.</t>
  </si>
  <si>
    <t>Insert → PivotTable → New Worksheet → OK.</t>
  </si>
  <si>
    <t>Check Segment (lands in Rows).</t>
  </si>
  <si>
    <t>Check CustomerID (lands in Values as Sum) — change it to Count via Value Field Settings.</t>
  </si>
  <si>
    <t>Result: how many customers fall into each of the 4 segments. Cross-check this against your Conversion_Funnel numbers — they should match exactly, built two completely different ways.</t>
  </si>
  <si>
    <t>Pivot 3 — Total extra charged (late fees) by Provider</t>
  </si>
  <si>
    <t>Check Provider (Rows) and ExtraCharged (Values, Sum).</t>
  </si>
  <si>
    <t>Right-click a value in the ExtraCharged column → Sort → Largest to Smallest.</t>
  </si>
  <si>
    <t>Result: which provider's late customers generate the most in penalty charges — worth sanity-checking against the Revenue_Model's offer-amount assumption as real data comes in.</t>
  </si>
  <si>
    <t>Pivot 4 — Average offered interest rate by offer Status</t>
  </si>
  <si>
    <t>Click any cell inside the Raw_Offers table.</t>
  </si>
  <si>
    <t>Check Status (Rows) and OfferedRatePct (Values) — change from Sum to Average via Value Field Settings.</t>
  </si>
  <si>
    <t>Result: does the average offered rate differ between Accepted and Declined offers? A real signal for whether the interest rate itself is a factor in acceptance, worth a line in your Key_Insights.</t>
  </si>
  <si>
    <t>Key Insights</t>
  </si>
  <si>
    <t>Your own written interpretation, once every sheet above is built. This is the raw material for your portfolio case-study narrative — write it in your own words, not as a data dump.</t>
  </si>
  <si>
    <t>1. What % of customers are currently "stacked" across 2+ providers? What does that suggest about how common the debt-stacking problem is in this data?</t>
  </si>
  <si>
    <t>"60% of customers in this dataset are currently "stacked" across 2 or more BNPL providers. This means debt-stacking isn't a rare edge case — it's the majority situation among BNPL users in this sample, which suggests the problem is widespread enough to justify building a dedicated product for it, rather than treating it as a niche risk affecting only a small group of customers.</t>
  </si>
  <si>
    <t>2. Which provider generates the most in late fees (Pivot 3)? Why might that matter in a partnership or negotiation conversation with that provider?</t>
  </si>
  <si>
    <t>"Shopee SPayLater generates the highest late fees (1,175 THB), making it both our biggest opportunity and our toughest partner to negotiate with. Its customers would benefit the most from our auto-pay feature, making it a strong first target. But Shopee SPayLater currently earns revenue from those late fees, so it may resist a product designed to eliminate them — meaning we'd likely need to offer them something in return, like a share of our subscription revenue, to make the partnership worth it for them too."</t>
  </si>
  <si>
    <t>3. In your Revenue_Model, which single assumption would change Total Revenue the most if it turned out to be wrong? (This is literally what your sensitivity analysis table is for.)</t>
  </si>
  <si>
    <t>The single biggest swing on Year-1 Total Revenue is not a price at all — it’s the Tier 1 sales-cycle pace (how many months pass between each new large-bank signing). Tested against every other assumption in the model (both tiers’ setup fees, both tiers’ monthly license fees, Tier 2 pace), sales-cycle pace has the widest range: Year-1 revenue swings from about 10.1M THB (a signing every 12 months) to about 17.2M THB (a signing every 4 months) — a 71% spread. That’s because the Tier 1 addressable market (6 banks) is never reached within Year 1 regardless of pace, so the real constraint isn’t how much each bank pays, it’s how fast enterprise bank deals actually close. That makes B2B sales execution speed the single highest-risk number in this model — more important than getting the license price exactly right.</t>
  </si>
  <si>
    <t>4. Does the offered interest rate look like it affects whether customers accept the consolidation offer (Pivot 4)? What would you want to test next if this were real data?</t>
  </si>
  <si>
    <t>The gap between Accepted (15%) and Declined (14%) offers is only 1 percentage point, which is too small to conclude that interest rate meaningfully affects acceptance — especially with such a small number of offers in this dataset. A 1-point difference could easily be random noise rather than a real pattern. If this were real data, I'd want a much larger sample of offers before drawing any conclusion, and I'd also want to test interest rate alongside other factors — like debt-to-income ratio or credit score — since acceptance is more likely driven by whether the customer can actually afford the offer, not the rate alone.</t>
  </si>
  <si>
    <t>5. One paragraph, written the way you'd want a recruiter to read it: what problem does this analysis solve, and what's the headline number?</t>
  </si>
  <si>
    <t>This project tackles a real, growing problem in Thailand's BNPL market: because providers like Atome, SPayLater, and TrueMoney don't share data with each other, customers can rack up debt across multiple platforms with no single lender realizing how overextended they are. Analyzing a sample of BNPL users, I found that 60% were already "stacked" across two or more providers — a number I verified two independent ways (SQL-style funnel logic and a PivotTable) to make sure it wasn't a fluke. Late fees from missed payments totaled 2,340 THB across just five providers in this sample, showing real money is being lost to timing mistakes, not just bad debt. My proposed solution — an app that auto-pays BNPL bills on time and offers credit-checked debt consolidation only to customers who can actually afford it — is free for every consumer; the business model licenses the technology to banks instead, and my revenue model forecasts 13.7M THB in Year-1 B2B revenue from just 6 banks signed (2 large, 4 mid-size) out of 13 realistically addressable. A sensitivity analysis shows the single highest-risk number isn't the license price — it's how fast enterprise bank sales cycles actually close, which can swing that Year-1 forecast by more than 70%.</t>
  </si>
  <si>
    <t xml:space="preserve"> </t>
  </si>
  <si>
    <t>Row Labels</t>
  </si>
  <si>
    <t>Grand Total</t>
  </si>
  <si>
    <t>มี.ค.</t>
  </si>
  <si>
    <t>เม.ย.</t>
  </si>
  <si>
    <t>พ.ค.</t>
  </si>
  <si>
    <t>Column Labels</t>
  </si>
  <si>
    <t>Total Sum of ExpectedAmount</t>
  </si>
  <si>
    <t>Total Sum of ActualPaidAmount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</si>
</sst>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charset val="1"/>
    </font>
    <font>
      <b/>
      <sz val="11"/>
      <color theme="1"/>
      <name val="Calibri"/>
      <family val="2"/>
      <charset val="1"/>
    </font>
    <font>
      <b/>
      <sz val="18"/>
      <color rgb="FF1F3864"/>
      <name val="Calibri"/>
      <charset val="1"/>
    </font>
    <font>
      <sz val="11"/>
      <color rgb="FF333333"/>
      <name val="Calibri"/>
      <charset val="1"/>
    </font>
    <font>
      <b/>
      <sz val="13"/>
      <color rgb="FF1F3864"/>
      <name val="Calibri"/>
      <charset val="1"/>
    </font>
    <font>
      <b/>
      <sz val="11"/>
      <color rgb="FFFFFFFF"/>
      <name val="Calibri"/>
      <charset val="1"/>
    </font>
    <font>
      <i/>
      <sz val="10"/>
      <color rgb="FF666666"/>
      <name val="Calibri"/>
      <charset val="1"/>
    </font>
    <font>
      <b/>
      <sz val="11"/>
      <color rgb="FF0070C0"/>
      <name val="Calibri"/>
      <charset val="1"/>
    </font>
    <font>
      <sz val="11"/>
      <name val="Cambria"/>
      <charset val="1"/>
    </font>
    <font>
      <b/>
      <sz val="11"/>
      <color rgb="FF333333"/>
      <name val="Cambria"/>
      <charset val="1"/>
    </font>
    <font>
      <sz val="11"/>
      <color rgb="FF333333"/>
      <name val="Cambria"/>
      <charset val="1"/>
    </font>
    <font>
      <b/>
      <sz val="11"/>
      <name val="Calibri"/>
      <charset val="1"/>
    </font>
    <font>
      <sz val="11"/>
      <color theme="1"/>
      <name val="Calibri"/>
      <family val="2"/>
      <charset val="1"/>
    </font>
  </fonts>
  <fills count="5">
    <fill>
      <patternFill patternType="none"/>
    </fill>
    <fill>
      <patternFill patternType="gray125"/>
    </fill>
    <fill>
      <patternFill patternType="solid">
        <fgColor rgb="FF1F3864"/>
        <bgColor rgb="FF333333"/>
      </patternFill>
    </fill>
    <fill>
      <patternFill patternType="solid">
        <fgColor rgb="FFD9EAD3"/>
        <bgColor rgb="FFCCFFFF"/>
      </patternFill>
    </fill>
    <fill>
      <patternFill patternType="solid">
        <fgColor rgb="FFFFF2A6"/>
        <bgColor rgb="FFFFFFCC"/>
      </patternFill>
    </fill>
  </fills>
  <borders count="11">
    <border>
      <left/>
      <right/>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medium">
        <color auto="1"/>
      </bottom>
      <diagonal/>
    </border>
    <border>
      <left style="thin">
        <color rgb="FFBFBFBF"/>
      </left>
      <right style="thin">
        <color rgb="FFBFBFBF"/>
      </right>
      <top style="thin">
        <color rgb="FFBFBFBF"/>
      </top>
      <bottom style="thin">
        <color rgb="FFBFBFBF"/>
      </bottom>
      <diagonal/>
    </border>
  </borders>
  <cellStyleXfs count="7">
    <xf numFmtId="0" fontId="0" fillId="0" borderId="0"/>
    <xf numFmtId="0" fontId="12" fillId="0" borderId="0" applyBorder="0" applyProtection="0"/>
    <xf numFmtId="0" fontId="12" fillId="0" borderId="0" applyBorder="0" applyProtection="0"/>
    <xf numFmtId="0" fontId="12" fillId="0" borderId="0" applyBorder="0" applyProtection="0"/>
    <xf numFmtId="0" fontId="12" fillId="0" borderId="0" applyBorder="0" applyProtection="0">
      <alignment horizontal="left"/>
    </xf>
    <xf numFmtId="0" fontId="1" fillId="0" borderId="0" applyBorder="0" applyProtection="0">
      <alignment horizontal="left"/>
    </xf>
    <xf numFmtId="0" fontId="1" fillId="0" borderId="0" applyBorder="0" applyProtection="0"/>
  </cellStyleXfs>
  <cellXfs count="46">
    <xf numFmtId="0" fontId="0" fillId="0" borderId="0" xfId="0"/>
    <xf numFmtId="0" fontId="6" fillId="0" borderId="0" xfId="0" applyFont="1" applyAlignment="1">
      <alignment vertical="top" wrapText="1"/>
    </xf>
    <xf numFmtId="0" fontId="6" fillId="0" borderId="0" xfId="0" applyFont="1"/>
    <xf numFmtId="0" fontId="6" fillId="0" borderId="0" xfId="0" applyFont="1" applyAlignment="1">
      <alignment wrapText="1"/>
    </xf>
    <xf numFmtId="0" fontId="4" fillId="0" borderId="0" xfId="0" applyFont="1"/>
    <xf numFmtId="0" fontId="3" fillId="0" borderId="0" xfId="0" applyFont="1" applyAlignment="1">
      <alignment wrapText="1"/>
    </xf>
    <xf numFmtId="0" fontId="3" fillId="0" borderId="0" xfId="0" applyFont="1" applyAlignment="1">
      <alignment vertical="top" wrapText="1"/>
    </xf>
    <xf numFmtId="0" fontId="2" fillId="0" borderId="0" xfId="0" applyFont="1"/>
    <xf numFmtId="0" fontId="5" fillId="2" borderId="0" xfId="0" applyFont="1" applyFill="1"/>
    <xf numFmtId="0" fontId="3" fillId="0" borderId="0" xfId="0" applyFont="1" applyAlignment="1">
      <alignment vertical="top"/>
    </xf>
    <xf numFmtId="0" fontId="3" fillId="0" borderId="0" xfId="0" applyFont="1"/>
    <xf numFmtId="0" fontId="12" fillId="0" borderId="1" xfId="4" applyBorder="1">
      <alignment horizontal="left"/>
    </xf>
    <xf numFmtId="0" fontId="12" fillId="0" borderId="2" xfId="4" applyBorder="1">
      <alignment horizontal="left"/>
    </xf>
    <xf numFmtId="0" fontId="1" fillId="0" borderId="3" xfId="5" applyBorder="1">
      <alignment horizontal="left"/>
    </xf>
    <xf numFmtId="0" fontId="12" fillId="0" borderId="4" xfId="3" applyBorder="1"/>
    <xf numFmtId="0" fontId="12" fillId="0" borderId="5" xfId="1" applyBorder="1"/>
    <xf numFmtId="0" fontId="12" fillId="0" borderId="6" xfId="2" applyBorder="1"/>
    <xf numFmtId="0" fontId="12" fillId="0" borderId="7" xfId="2" applyBorder="1"/>
    <xf numFmtId="0" fontId="12" fillId="0" borderId="8" xfId="2" applyBorder="1"/>
    <xf numFmtId="0" fontId="1" fillId="0" borderId="9" xfId="6" applyBorder="1"/>
    <xf numFmtId="164" fontId="0" fillId="0" borderId="0" xfId="0" applyNumberFormat="1"/>
    <xf numFmtId="0" fontId="0" fillId="3" borderId="10" xfId="0" applyFill="1" applyBorder="1"/>
    <xf numFmtId="0" fontId="7" fillId="4" borderId="0" xfId="0" applyFont="1" applyFill="1"/>
    <xf numFmtId="0" fontId="8" fillId="0" borderId="0" xfId="0" applyFont="1"/>
    <xf numFmtId="1" fontId="7" fillId="4" borderId="10" xfId="0" applyNumberFormat="1" applyFont="1" applyFill="1" applyBorder="1"/>
    <xf numFmtId="3" fontId="7" fillId="4" borderId="10" xfId="0" applyNumberFormat="1" applyFont="1" applyFill="1" applyBorder="1"/>
    <xf numFmtId="0" fontId="5" fillId="2" borderId="0" xfId="0" applyFont="1" applyFill="1" applyAlignment="1">
      <alignment horizontal="center" vertical="center" wrapText="1"/>
    </xf>
    <xf numFmtId="0" fontId="8" fillId="0" borderId="0" xfId="0" applyFont="1" applyAlignment="1">
      <alignment horizontal="center" vertical="center" wrapText="1"/>
    </xf>
    <xf numFmtId="3" fontId="8" fillId="3" borderId="10" xfId="0" applyNumberFormat="1" applyFont="1" applyFill="1" applyBorder="1"/>
    <xf numFmtId="1" fontId="8" fillId="3" borderId="10" xfId="0" applyNumberFormat="1" applyFont="1" applyFill="1" applyBorder="1"/>
    <xf numFmtId="0" fontId="9" fillId="0" borderId="0" xfId="0" applyFont="1"/>
    <xf numFmtId="0" fontId="8" fillId="0" borderId="0" xfId="0" applyFont="1" applyAlignment="1">
      <alignment wrapText="1"/>
    </xf>
    <xf numFmtId="1" fontId="10" fillId="0" borderId="0" xfId="0" applyNumberFormat="1" applyFont="1"/>
    <xf numFmtId="3" fontId="0" fillId="3" borderId="10" xfId="0" applyNumberFormat="1" applyFill="1" applyBorder="1"/>
    <xf numFmtId="0" fontId="11" fillId="0" borderId="0" xfId="0" applyFont="1" applyAlignment="1">
      <alignment vertical="top" wrapText="1"/>
    </xf>
    <xf numFmtId="0" fontId="0" fillId="3" borderId="10" xfId="0" applyFill="1" applyBorder="1" applyAlignment="1">
      <alignment vertical="top" wrapText="1"/>
    </xf>
    <xf numFmtId="0" fontId="6" fillId="0" borderId="0" xfId="0" applyFont="1"/>
    <xf numFmtId="0" fontId="6" fillId="0" borderId="0" xfId="0" applyFont="1" applyAlignment="1">
      <alignment wrapText="1"/>
    </xf>
    <xf numFmtId="0" fontId="3" fillId="0" borderId="0" xfId="0" applyFont="1" applyAlignment="1">
      <alignment vertical="top" wrapText="1"/>
    </xf>
    <xf numFmtId="0" fontId="3" fillId="0" borderId="0" xfId="0" applyFont="1" applyAlignment="1">
      <alignment wrapText="1"/>
    </xf>
    <xf numFmtId="0" fontId="4" fillId="0" borderId="0" xfId="0" applyFont="1"/>
    <xf numFmtId="0" fontId="6" fillId="0" borderId="0" xfId="0" applyFont="1" applyAlignment="1">
      <alignment vertical="top" wrapText="1"/>
    </xf>
    <xf numFmtId="0" fontId="3"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D9EAD3"/>
      <rgbColor rgb="FFFFF2A6"/>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90" xr:uid="{00000000-000A-0000-FFFF-FFFF01000000}">
  <cacheSource type="worksheet">
    <worksheetSource ref="A1:J91" sheet="Raw_Transactions"/>
  </cacheSource>
  <cacheFields count="11">
    <cacheField name="ObligationID" numFmtId="0">
      <sharedItems containsSemiMixedTypes="0" containsString="0" containsNumber="1" containsInteger="1" minValue="1" maxValue="90" count="9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sharedItems>
    </cacheField>
    <cacheField name="CustomerID" numFmtId="0">
      <sharedItems containsSemiMixedTypes="0" containsString="0" containsNumber="1" containsInteger="1" minValue="101" maxValue="116" count="16">
        <n v="101"/>
        <n v="102"/>
        <n v="103"/>
        <n v="104"/>
        <n v="105"/>
        <n v="106"/>
        <n v="107"/>
        <n v="108"/>
        <n v="109"/>
        <n v="110"/>
        <n v="111"/>
        <n v="112"/>
        <n v="113"/>
        <n v="114"/>
        <n v="115"/>
        <n v="116"/>
      </sharedItems>
    </cacheField>
    <cacheField name="CustomerName" numFmtId="0">
      <sharedItems count="16">
        <s v="Amporn Silpachai"/>
        <s v="Anan Chaiyaporn"/>
        <s v="Boonsong Meechai"/>
        <s v="Chatchai Kiatkamon"/>
        <s v="Kanya Ruangrit"/>
        <s v="Kittipong Srisuk"/>
        <s v="Malee Thongdee"/>
        <s v="Nittaya Wongsawat"/>
        <s v="Pornthip Suksawat"/>
        <s v="Prasert Rattanakul"/>
        <s v="Siriporn Nakornthap"/>
        <s v="Somchai Jaidee"/>
        <s v="Somsak Pattaraporn"/>
        <s v="Suda Panyawong"/>
        <s v="Wanida Boonmee"/>
        <s v="Wichai Amnuayporn"/>
      </sharedItems>
    </cacheField>
    <cacheField name="Provider" numFmtId="0">
      <sharedItems count="5">
        <s v="Atome"/>
        <s v="Grab PayLater"/>
        <s v="LazPayLater"/>
        <s v="Shopee SPayLater"/>
        <s v="TrueMoney Next"/>
      </sharedItems>
    </cacheField>
    <cacheField name="DueDate" numFmtId="0">
      <sharedItems containsSemiMixedTypes="0" containsNonDate="0" containsDate="1" containsString="0" minDate="2026-03-02T00:00:00" maxDate="2026-05-27T00:00:00" count="66">
        <d v="2026-03-02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7T00:00:00"/>
        <d v="2026-04-02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7T00:00:00"/>
        <d v="2026-05-02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7T00:00:00"/>
      </sharedItems>
      <fieldGroup par="10"/>
    </cacheField>
    <cacheField name="ExpectedAmount" numFmtId="0">
      <sharedItems containsSemiMixedTypes="0" containsString="0" containsNumber="1" containsInteger="1" minValue="350" maxValue="2500" count="19">
        <n v="350"/>
        <n v="400"/>
        <n v="450"/>
        <n v="500"/>
        <n v="550"/>
        <n v="600"/>
        <n v="650"/>
        <n v="700"/>
        <n v="800"/>
        <n v="900"/>
        <n v="950"/>
        <n v="1000"/>
        <n v="1100"/>
        <n v="1200"/>
        <n v="1300"/>
        <n v="1500"/>
        <n v="1800"/>
        <n v="2000"/>
        <n v="2500"/>
      </sharedItems>
    </cacheField>
    <cacheField name="ActualPaidAmount" numFmtId="0">
      <sharedItems containsSemiMixedTypes="0" containsString="0" containsNumber="1" containsInteger="1" minValue="350" maxValue="2500" count="31">
        <n v="350"/>
        <n v="400"/>
        <n v="450"/>
        <n v="495"/>
        <n v="500"/>
        <n v="550"/>
        <n v="600"/>
        <n v="615"/>
        <n v="650"/>
        <n v="690"/>
        <n v="700"/>
        <n v="730"/>
        <n v="735"/>
        <n v="800"/>
        <n v="875"/>
        <n v="900"/>
        <n v="950"/>
        <n v="980"/>
        <n v="1000"/>
        <n v="1100"/>
        <n v="1200"/>
        <n v="1265"/>
        <n v="1300"/>
        <n v="1450"/>
        <n v="1500"/>
        <n v="1650"/>
        <n v="1800"/>
        <n v="2000"/>
        <n v="2070"/>
        <n v="2300"/>
        <n v="2500"/>
      </sharedItems>
    </cacheField>
    <cacheField name="DaysLate" numFmtId="0">
      <sharedItems containsSemiMixedTypes="0" containsString="0" containsNumber="1" containsInteger="1" minValue="0" maxValue="15" count="9">
        <n v="0"/>
        <n v="7"/>
        <n v="8"/>
        <n v="9"/>
        <n v="10"/>
        <n v="11"/>
        <n v="13"/>
        <n v="14"/>
        <n v="15"/>
      </sharedItems>
    </cacheField>
    <cacheField name="Cycle" numFmtId="0">
      <sharedItems containsSemiMixedTypes="0" containsString="0" containsNumber="1" containsInteger="1" minValue="1" maxValue="3" count="3">
        <n v="1"/>
        <n v="2"/>
        <n v="3"/>
      </sharedItems>
    </cacheField>
    <cacheField name="ExtraCharged" numFmtId="0">
      <sharedItems containsSemiMixedTypes="0" containsString="0" containsNumber="1" containsInteger="1" minValue="0" maxValue="300" count="14">
        <n v="0"/>
        <n v="95"/>
        <n v="100"/>
        <n v="115"/>
        <n v="130"/>
        <n v="135"/>
        <n v="140"/>
        <n v="150"/>
        <n v="165"/>
        <n v="175"/>
        <n v="180"/>
        <n v="250"/>
        <n v="270"/>
        <n v="300"/>
      </sharedItems>
    </cacheField>
    <cacheField name="Months (DueDate)" numFmtId="0" databaseField="0">
      <fieldGroup base="4">
        <rangePr groupBy="months" startDate="2026-03-02T00:00:00" endDate="2026-05-27T00:00:00"/>
        <groupItems count="14">
          <s v="&lt;2/3/2026"/>
          <s v="ม.ค."/>
          <s v="ก.พ."/>
          <s v="มี.ค."/>
          <s v="เม.ย."/>
          <s v="พ.ค."/>
          <s v="มิ.ย."/>
          <s v="ก.ค."/>
          <s v="ส.ค."/>
          <s v="ก.ย."/>
          <s v="ต.ค."/>
          <s v="พ.ย."/>
          <s v="ธ.ค."/>
          <s v="&gt;27/5/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20" xr:uid="{00000000-000A-0000-FFFF-FFFF02000000}">
  <cacheSource type="worksheet">
    <worksheetSource ref="A1:G21" sheet="Raw_Customers"/>
  </cacheSource>
  <cacheFields count="7">
    <cacheField name="CustomerID" numFmtId="0">
      <sharedItems containsSemiMixedTypes="0" containsString="0" containsNumber="1" containsInteger="1" minValue="101" maxValue="120" count="20">
        <n v="101"/>
        <n v="102"/>
        <n v="103"/>
        <n v="104"/>
        <n v="105"/>
        <n v="106"/>
        <n v="107"/>
        <n v="108"/>
        <n v="109"/>
        <n v="110"/>
        <n v="111"/>
        <n v="112"/>
        <n v="113"/>
        <n v="114"/>
        <n v="115"/>
        <n v="116"/>
        <n v="117"/>
        <n v="118"/>
        <n v="119"/>
        <n v="120"/>
      </sharedItems>
    </cacheField>
    <cacheField name="FullName" numFmtId="0">
      <sharedItems count="20">
        <s v="Amporn Silpachai"/>
        <s v="Anan Chaiyaporn"/>
        <s v="Boonsong Meechai"/>
        <s v="Chatchai Kiatkamon"/>
        <s v="Direk Wattanasin"/>
        <s v="Kanya Ruangrit"/>
        <s v="Kittipong Srisuk"/>
        <s v="Malee Thongdee"/>
        <s v="Nittaya Wongsawat"/>
        <s v="Pornthip Suksawat"/>
        <s v="Prasert Rattanakul"/>
        <s v="Ratana Chotisiri"/>
        <s v="Siriporn Nakornthap"/>
        <s v="Sombat Uthairat"/>
        <s v="Somchai Jaidee"/>
        <s v="Somsak Pattaraporn"/>
        <s v="Suda Panyawong"/>
        <s v="Wanida Boonmee"/>
        <s v="Wassana Intharaphan"/>
        <s v="Wichai Amnuayporn"/>
      </sharedItems>
    </cacheField>
    <cacheField name="MonthlyIncome" numFmtId="0">
      <sharedItems containsSemiMixedTypes="0" containsString="0" containsNumber="1" containsInteger="1" minValue="18000" maxValue="75000" count="20">
        <n v="18000"/>
        <n v="19500"/>
        <n v="21000"/>
        <n v="22000"/>
        <n v="27000"/>
        <n v="29000"/>
        <n v="32000"/>
        <n v="33000"/>
        <n v="36000"/>
        <n v="38000"/>
        <n v="41000"/>
        <n v="44000"/>
        <n v="45000"/>
        <n v="47000"/>
        <n v="48000"/>
        <n v="52000"/>
        <n v="55000"/>
        <n v="60000"/>
        <n v="62000"/>
        <n v="75000"/>
      </sharedItems>
    </cacheField>
    <cacheField name="CreditScore" numFmtId="0">
      <sharedItems containsString="0" containsBlank="1" containsNumber="1" containsInteger="1" minValue="530" maxValue="715" count="9">
        <n v="530"/>
        <n v="545"/>
        <n v="560"/>
        <n v="572"/>
        <n v="680"/>
        <n v="690"/>
        <n v="702"/>
        <n v="715"/>
        <m/>
      </sharedItems>
    </cacheField>
    <cacheField name="DSR_Pct" numFmtId="0">
      <sharedItems containsString="0" containsBlank="1" containsNumber="1" minValue="0.32500000000000001" maxValue="0.63" count="9">
        <n v="0.32500000000000001"/>
        <n v="0.38200000000000001"/>
        <n v="0.41"/>
        <n v="0.44800000000000001"/>
        <n v="0.55500000000000005"/>
        <n v="0.57999999999999996"/>
        <n v="0.61"/>
        <n v="0.63"/>
        <m/>
      </sharedItems>
    </cacheField>
    <cacheField name="EligibilityOutcome" numFmtId="0">
      <sharedItems count="3">
        <s v="Eligible"/>
        <s v="Not Eligible"/>
        <s v="Not Screened"/>
      </sharedItems>
    </cacheField>
    <cacheField name="Segment" numFmtId="0">
      <sharedItems count="4">
        <s v="Not a BNPL user"/>
        <s v="Single provider"/>
        <s v="Stacked - at risk"/>
        <s v="Stacked - healthy"/>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4" xr:uid="{00000000-000A-0000-FFFF-FFFF03000000}">
  <cacheSource type="worksheet">
    <worksheetSource ref="A1:G5" sheet="Raw_Offers"/>
  </cacheSource>
  <cacheFields count="7">
    <cacheField name="CustomerID" numFmtId="0">
      <sharedItems containsSemiMixedTypes="0" containsString="0" containsNumber="1" containsInteger="1" minValue="101" maxValue="104" count="4">
        <n v="101"/>
        <n v="102"/>
        <n v="103"/>
        <n v="104"/>
      </sharedItems>
    </cacheField>
    <cacheField name="FullName" numFmtId="0">
      <sharedItems count="4">
        <s v="Anan Chaiyaporn"/>
        <s v="Nittaya Wongsawat"/>
        <s v="Somchai Jaidee"/>
        <s v="Suda Panyawong"/>
      </sharedItems>
    </cacheField>
    <cacheField name="OfferDate" numFmtId="0">
      <sharedItems containsSemiMixedTypes="0" containsNonDate="0" containsDate="1" containsString="0" minDate="2026-05-20T00:00:00" maxDate="2026-05-30T00:00:00" count="4">
        <d v="2026-05-20T00:00:00"/>
        <d v="2026-05-23T00:00:00"/>
        <d v="2026-05-27T00:00:00"/>
        <d v="2026-05-30T00:00:00"/>
      </sharedItems>
    </cacheField>
    <cacheField name="TotalAmount" numFmtId="0">
      <sharedItems containsSemiMixedTypes="0" containsString="0" containsNumber="1" containsInteger="1" minValue="1730" maxValue="4400" count="4">
        <n v="1730"/>
        <n v="2000"/>
        <n v="3335"/>
        <n v="4400"/>
      </sharedItems>
    </cacheField>
    <cacheField name="OfferedRatePct" numFmtId="0">
      <sharedItems containsSemiMixedTypes="0" containsString="0" containsNumber="1" minValue="0.14000000000000001" maxValue="0.15" count="2">
        <n v="0.14000000000000001"/>
        <n v="0.15"/>
      </sharedItems>
    </cacheField>
    <cacheField name="MonthlyPayment" numFmtId="0">
      <sharedItems containsSemiMixedTypes="0" containsString="0" containsNumber="1" containsInteger="1" minValue="149" maxValue="385" count="4">
        <n v="149"/>
        <n v="180"/>
        <n v="291"/>
        <n v="385"/>
      </sharedItems>
    </cacheField>
    <cacheField name="Status" numFmtId="0">
      <sharedItems count="2">
        <s v="Accepted"/>
        <s v="Declin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x v="11"/>
    <x v="3"/>
    <x v="12"/>
    <x v="13"/>
    <x v="20"/>
    <x v="0"/>
    <x v="0"/>
    <x v="0"/>
  </r>
  <r>
    <x v="1"/>
    <x v="0"/>
    <x v="11"/>
    <x v="0"/>
    <x v="15"/>
    <x v="8"/>
    <x v="13"/>
    <x v="0"/>
    <x v="0"/>
    <x v="0"/>
  </r>
  <r>
    <x v="2"/>
    <x v="0"/>
    <x v="11"/>
    <x v="3"/>
    <x v="34"/>
    <x v="13"/>
    <x v="20"/>
    <x v="0"/>
    <x v="1"/>
    <x v="0"/>
  </r>
  <r>
    <x v="3"/>
    <x v="0"/>
    <x v="11"/>
    <x v="0"/>
    <x v="37"/>
    <x v="8"/>
    <x v="13"/>
    <x v="0"/>
    <x v="1"/>
    <x v="0"/>
  </r>
  <r>
    <x v="4"/>
    <x v="0"/>
    <x v="11"/>
    <x v="3"/>
    <x v="56"/>
    <x v="13"/>
    <x v="23"/>
    <x v="1"/>
    <x v="2"/>
    <x v="11"/>
  </r>
  <r>
    <x v="5"/>
    <x v="0"/>
    <x v="11"/>
    <x v="0"/>
    <x v="59"/>
    <x v="8"/>
    <x v="13"/>
    <x v="0"/>
    <x v="2"/>
    <x v="0"/>
  </r>
  <r>
    <x v="6"/>
    <x v="1"/>
    <x v="13"/>
    <x v="3"/>
    <x v="7"/>
    <x v="17"/>
    <x v="27"/>
    <x v="0"/>
    <x v="0"/>
    <x v="0"/>
  </r>
  <r>
    <x v="7"/>
    <x v="1"/>
    <x v="13"/>
    <x v="2"/>
    <x v="9"/>
    <x v="15"/>
    <x v="24"/>
    <x v="0"/>
    <x v="0"/>
    <x v="0"/>
  </r>
  <r>
    <x v="8"/>
    <x v="1"/>
    <x v="13"/>
    <x v="4"/>
    <x v="11"/>
    <x v="9"/>
    <x v="15"/>
    <x v="0"/>
    <x v="0"/>
    <x v="0"/>
  </r>
  <r>
    <x v="9"/>
    <x v="1"/>
    <x v="13"/>
    <x v="3"/>
    <x v="29"/>
    <x v="17"/>
    <x v="27"/>
    <x v="0"/>
    <x v="1"/>
    <x v="0"/>
  </r>
  <r>
    <x v="10"/>
    <x v="1"/>
    <x v="13"/>
    <x v="2"/>
    <x v="31"/>
    <x v="15"/>
    <x v="24"/>
    <x v="0"/>
    <x v="1"/>
    <x v="0"/>
  </r>
  <r>
    <x v="11"/>
    <x v="1"/>
    <x v="13"/>
    <x v="4"/>
    <x v="33"/>
    <x v="9"/>
    <x v="15"/>
    <x v="0"/>
    <x v="1"/>
    <x v="0"/>
  </r>
  <r>
    <x v="12"/>
    <x v="1"/>
    <x v="13"/>
    <x v="3"/>
    <x v="51"/>
    <x v="17"/>
    <x v="29"/>
    <x v="8"/>
    <x v="2"/>
    <x v="13"/>
  </r>
  <r>
    <x v="13"/>
    <x v="1"/>
    <x v="13"/>
    <x v="2"/>
    <x v="53"/>
    <x v="15"/>
    <x v="25"/>
    <x v="7"/>
    <x v="2"/>
    <x v="7"/>
  </r>
  <r>
    <x v="14"/>
    <x v="1"/>
    <x v="13"/>
    <x v="4"/>
    <x v="55"/>
    <x v="9"/>
    <x v="15"/>
    <x v="0"/>
    <x v="2"/>
    <x v="0"/>
  </r>
  <r>
    <x v="15"/>
    <x v="2"/>
    <x v="1"/>
    <x v="0"/>
    <x v="2"/>
    <x v="11"/>
    <x v="18"/>
    <x v="0"/>
    <x v="0"/>
    <x v="0"/>
  </r>
  <r>
    <x v="16"/>
    <x v="2"/>
    <x v="1"/>
    <x v="1"/>
    <x v="5"/>
    <x v="5"/>
    <x v="6"/>
    <x v="0"/>
    <x v="0"/>
    <x v="0"/>
  </r>
  <r>
    <x v="17"/>
    <x v="2"/>
    <x v="1"/>
    <x v="0"/>
    <x v="24"/>
    <x v="11"/>
    <x v="18"/>
    <x v="0"/>
    <x v="1"/>
    <x v="0"/>
  </r>
  <r>
    <x v="18"/>
    <x v="2"/>
    <x v="1"/>
    <x v="1"/>
    <x v="27"/>
    <x v="5"/>
    <x v="6"/>
    <x v="0"/>
    <x v="1"/>
    <x v="0"/>
  </r>
  <r>
    <x v="19"/>
    <x v="2"/>
    <x v="1"/>
    <x v="0"/>
    <x v="46"/>
    <x v="11"/>
    <x v="18"/>
    <x v="0"/>
    <x v="2"/>
    <x v="0"/>
  </r>
  <r>
    <x v="20"/>
    <x v="2"/>
    <x v="1"/>
    <x v="1"/>
    <x v="49"/>
    <x v="5"/>
    <x v="11"/>
    <x v="5"/>
    <x v="2"/>
    <x v="4"/>
  </r>
  <r>
    <x v="21"/>
    <x v="3"/>
    <x v="7"/>
    <x v="3"/>
    <x v="17"/>
    <x v="16"/>
    <x v="26"/>
    <x v="0"/>
    <x v="0"/>
    <x v="0"/>
  </r>
  <r>
    <x v="22"/>
    <x v="3"/>
    <x v="7"/>
    <x v="4"/>
    <x v="19"/>
    <x v="12"/>
    <x v="19"/>
    <x v="0"/>
    <x v="0"/>
    <x v="0"/>
  </r>
  <r>
    <x v="23"/>
    <x v="3"/>
    <x v="7"/>
    <x v="3"/>
    <x v="39"/>
    <x v="16"/>
    <x v="26"/>
    <x v="0"/>
    <x v="1"/>
    <x v="0"/>
  </r>
  <r>
    <x v="24"/>
    <x v="3"/>
    <x v="7"/>
    <x v="4"/>
    <x v="41"/>
    <x v="12"/>
    <x v="19"/>
    <x v="0"/>
    <x v="1"/>
    <x v="0"/>
  </r>
  <r>
    <x v="25"/>
    <x v="3"/>
    <x v="7"/>
    <x v="3"/>
    <x v="61"/>
    <x v="16"/>
    <x v="28"/>
    <x v="3"/>
    <x v="2"/>
    <x v="12"/>
  </r>
  <r>
    <x v="26"/>
    <x v="3"/>
    <x v="7"/>
    <x v="4"/>
    <x v="63"/>
    <x v="12"/>
    <x v="21"/>
    <x v="2"/>
    <x v="2"/>
    <x v="8"/>
  </r>
  <r>
    <x v="27"/>
    <x v="4"/>
    <x v="5"/>
    <x v="0"/>
    <x v="8"/>
    <x v="9"/>
    <x v="15"/>
    <x v="0"/>
    <x v="0"/>
    <x v="0"/>
  </r>
  <r>
    <x v="28"/>
    <x v="4"/>
    <x v="5"/>
    <x v="2"/>
    <x v="10"/>
    <x v="7"/>
    <x v="10"/>
    <x v="0"/>
    <x v="0"/>
    <x v="0"/>
  </r>
  <r>
    <x v="29"/>
    <x v="4"/>
    <x v="5"/>
    <x v="0"/>
    <x v="30"/>
    <x v="9"/>
    <x v="15"/>
    <x v="0"/>
    <x v="1"/>
    <x v="0"/>
  </r>
  <r>
    <x v="30"/>
    <x v="4"/>
    <x v="5"/>
    <x v="2"/>
    <x v="32"/>
    <x v="7"/>
    <x v="10"/>
    <x v="0"/>
    <x v="1"/>
    <x v="0"/>
  </r>
  <r>
    <x v="31"/>
    <x v="4"/>
    <x v="5"/>
    <x v="0"/>
    <x v="52"/>
    <x v="9"/>
    <x v="15"/>
    <x v="0"/>
    <x v="2"/>
    <x v="0"/>
  </r>
  <r>
    <x v="32"/>
    <x v="4"/>
    <x v="5"/>
    <x v="2"/>
    <x v="54"/>
    <x v="7"/>
    <x v="10"/>
    <x v="0"/>
    <x v="2"/>
    <x v="0"/>
  </r>
  <r>
    <x v="33"/>
    <x v="5"/>
    <x v="14"/>
    <x v="3"/>
    <x v="4"/>
    <x v="14"/>
    <x v="22"/>
    <x v="0"/>
    <x v="0"/>
    <x v="0"/>
  </r>
  <r>
    <x v="34"/>
    <x v="5"/>
    <x v="14"/>
    <x v="1"/>
    <x v="6"/>
    <x v="3"/>
    <x v="4"/>
    <x v="0"/>
    <x v="0"/>
    <x v="0"/>
  </r>
  <r>
    <x v="35"/>
    <x v="5"/>
    <x v="14"/>
    <x v="3"/>
    <x v="26"/>
    <x v="14"/>
    <x v="22"/>
    <x v="0"/>
    <x v="1"/>
    <x v="0"/>
  </r>
  <r>
    <x v="36"/>
    <x v="5"/>
    <x v="14"/>
    <x v="1"/>
    <x v="28"/>
    <x v="3"/>
    <x v="4"/>
    <x v="0"/>
    <x v="1"/>
    <x v="0"/>
  </r>
  <r>
    <x v="37"/>
    <x v="5"/>
    <x v="14"/>
    <x v="3"/>
    <x v="48"/>
    <x v="14"/>
    <x v="22"/>
    <x v="0"/>
    <x v="2"/>
    <x v="0"/>
  </r>
  <r>
    <x v="38"/>
    <x v="5"/>
    <x v="14"/>
    <x v="1"/>
    <x v="50"/>
    <x v="3"/>
    <x v="4"/>
    <x v="0"/>
    <x v="2"/>
    <x v="0"/>
  </r>
  <r>
    <x v="39"/>
    <x v="6"/>
    <x v="9"/>
    <x v="0"/>
    <x v="13"/>
    <x v="18"/>
    <x v="30"/>
    <x v="0"/>
    <x v="0"/>
    <x v="0"/>
  </r>
  <r>
    <x v="40"/>
    <x v="6"/>
    <x v="9"/>
    <x v="3"/>
    <x v="14"/>
    <x v="16"/>
    <x v="26"/>
    <x v="0"/>
    <x v="0"/>
    <x v="0"/>
  </r>
  <r>
    <x v="41"/>
    <x v="6"/>
    <x v="9"/>
    <x v="4"/>
    <x v="16"/>
    <x v="13"/>
    <x v="20"/>
    <x v="0"/>
    <x v="0"/>
    <x v="0"/>
  </r>
  <r>
    <x v="42"/>
    <x v="6"/>
    <x v="9"/>
    <x v="0"/>
    <x v="35"/>
    <x v="18"/>
    <x v="30"/>
    <x v="0"/>
    <x v="1"/>
    <x v="0"/>
  </r>
  <r>
    <x v="43"/>
    <x v="6"/>
    <x v="9"/>
    <x v="3"/>
    <x v="36"/>
    <x v="16"/>
    <x v="26"/>
    <x v="0"/>
    <x v="1"/>
    <x v="0"/>
  </r>
  <r>
    <x v="44"/>
    <x v="6"/>
    <x v="9"/>
    <x v="4"/>
    <x v="38"/>
    <x v="13"/>
    <x v="20"/>
    <x v="0"/>
    <x v="1"/>
    <x v="0"/>
  </r>
  <r>
    <x v="45"/>
    <x v="6"/>
    <x v="9"/>
    <x v="0"/>
    <x v="57"/>
    <x v="18"/>
    <x v="30"/>
    <x v="0"/>
    <x v="2"/>
    <x v="0"/>
  </r>
  <r>
    <x v="46"/>
    <x v="6"/>
    <x v="9"/>
    <x v="3"/>
    <x v="58"/>
    <x v="16"/>
    <x v="26"/>
    <x v="0"/>
    <x v="2"/>
    <x v="0"/>
  </r>
  <r>
    <x v="47"/>
    <x v="6"/>
    <x v="9"/>
    <x v="4"/>
    <x v="60"/>
    <x v="13"/>
    <x v="20"/>
    <x v="0"/>
    <x v="2"/>
    <x v="0"/>
  </r>
  <r>
    <x v="48"/>
    <x v="7"/>
    <x v="6"/>
    <x v="3"/>
    <x v="1"/>
    <x v="10"/>
    <x v="16"/>
    <x v="0"/>
    <x v="0"/>
    <x v="0"/>
  </r>
  <r>
    <x v="49"/>
    <x v="7"/>
    <x v="6"/>
    <x v="0"/>
    <x v="3"/>
    <x v="6"/>
    <x v="8"/>
    <x v="0"/>
    <x v="0"/>
    <x v="0"/>
  </r>
  <r>
    <x v="50"/>
    <x v="7"/>
    <x v="6"/>
    <x v="3"/>
    <x v="23"/>
    <x v="10"/>
    <x v="16"/>
    <x v="0"/>
    <x v="1"/>
    <x v="0"/>
  </r>
  <r>
    <x v="51"/>
    <x v="7"/>
    <x v="6"/>
    <x v="0"/>
    <x v="25"/>
    <x v="6"/>
    <x v="8"/>
    <x v="0"/>
    <x v="1"/>
    <x v="0"/>
  </r>
  <r>
    <x v="52"/>
    <x v="7"/>
    <x v="6"/>
    <x v="3"/>
    <x v="45"/>
    <x v="10"/>
    <x v="16"/>
    <x v="0"/>
    <x v="2"/>
    <x v="0"/>
  </r>
  <r>
    <x v="53"/>
    <x v="7"/>
    <x v="6"/>
    <x v="0"/>
    <x v="47"/>
    <x v="6"/>
    <x v="8"/>
    <x v="0"/>
    <x v="2"/>
    <x v="0"/>
  </r>
  <r>
    <x v="54"/>
    <x v="8"/>
    <x v="3"/>
    <x v="3"/>
    <x v="18"/>
    <x v="7"/>
    <x v="10"/>
    <x v="0"/>
    <x v="0"/>
    <x v="0"/>
  </r>
  <r>
    <x v="55"/>
    <x v="8"/>
    <x v="3"/>
    <x v="3"/>
    <x v="40"/>
    <x v="7"/>
    <x v="10"/>
    <x v="0"/>
    <x v="1"/>
    <x v="0"/>
  </r>
  <r>
    <x v="56"/>
    <x v="8"/>
    <x v="3"/>
    <x v="3"/>
    <x v="62"/>
    <x v="7"/>
    <x v="10"/>
    <x v="0"/>
    <x v="2"/>
    <x v="0"/>
  </r>
  <r>
    <x v="57"/>
    <x v="9"/>
    <x v="8"/>
    <x v="0"/>
    <x v="20"/>
    <x v="3"/>
    <x v="4"/>
    <x v="0"/>
    <x v="0"/>
    <x v="0"/>
  </r>
  <r>
    <x v="58"/>
    <x v="9"/>
    <x v="8"/>
    <x v="0"/>
    <x v="42"/>
    <x v="3"/>
    <x v="4"/>
    <x v="0"/>
    <x v="1"/>
    <x v="0"/>
  </r>
  <r>
    <x v="59"/>
    <x v="9"/>
    <x v="8"/>
    <x v="0"/>
    <x v="64"/>
    <x v="3"/>
    <x v="4"/>
    <x v="0"/>
    <x v="2"/>
    <x v="0"/>
  </r>
  <r>
    <x v="60"/>
    <x v="10"/>
    <x v="15"/>
    <x v="1"/>
    <x v="0"/>
    <x v="1"/>
    <x v="1"/>
    <x v="0"/>
    <x v="0"/>
    <x v="0"/>
  </r>
  <r>
    <x v="61"/>
    <x v="10"/>
    <x v="15"/>
    <x v="1"/>
    <x v="22"/>
    <x v="1"/>
    <x v="1"/>
    <x v="0"/>
    <x v="1"/>
    <x v="0"/>
  </r>
  <r>
    <x v="62"/>
    <x v="10"/>
    <x v="15"/>
    <x v="1"/>
    <x v="44"/>
    <x v="1"/>
    <x v="1"/>
    <x v="0"/>
    <x v="2"/>
    <x v="0"/>
  </r>
  <r>
    <x v="63"/>
    <x v="11"/>
    <x v="10"/>
    <x v="2"/>
    <x v="21"/>
    <x v="0"/>
    <x v="0"/>
    <x v="0"/>
    <x v="0"/>
    <x v="0"/>
  </r>
  <r>
    <x v="64"/>
    <x v="11"/>
    <x v="10"/>
    <x v="2"/>
    <x v="43"/>
    <x v="0"/>
    <x v="0"/>
    <x v="0"/>
    <x v="1"/>
    <x v="0"/>
  </r>
  <r>
    <x v="65"/>
    <x v="11"/>
    <x v="10"/>
    <x v="2"/>
    <x v="65"/>
    <x v="0"/>
    <x v="0"/>
    <x v="0"/>
    <x v="2"/>
    <x v="0"/>
  </r>
  <r>
    <x v="66"/>
    <x v="12"/>
    <x v="2"/>
    <x v="3"/>
    <x v="3"/>
    <x v="8"/>
    <x v="13"/>
    <x v="0"/>
    <x v="0"/>
    <x v="0"/>
  </r>
  <r>
    <x v="67"/>
    <x v="12"/>
    <x v="2"/>
    <x v="0"/>
    <x v="5"/>
    <x v="5"/>
    <x v="6"/>
    <x v="0"/>
    <x v="0"/>
    <x v="0"/>
  </r>
  <r>
    <x v="68"/>
    <x v="12"/>
    <x v="2"/>
    <x v="3"/>
    <x v="25"/>
    <x v="8"/>
    <x v="13"/>
    <x v="0"/>
    <x v="1"/>
    <x v="0"/>
  </r>
  <r>
    <x v="69"/>
    <x v="12"/>
    <x v="2"/>
    <x v="0"/>
    <x v="27"/>
    <x v="5"/>
    <x v="6"/>
    <x v="0"/>
    <x v="1"/>
    <x v="0"/>
  </r>
  <r>
    <x v="70"/>
    <x v="12"/>
    <x v="2"/>
    <x v="3"/>
    <x v="47"/>
    <x v="8"/>
    <x v="17"/>
    <x v="7"/>
    <x v="2"/>
    <x v="10"/>
  </r>
  <r>
    <x v="71"/>
    <x v="12"/>
    <x v="2"/>
    <x v="0"/>
    <x v="49"/>
    <x v="5"/>
    <x v="12"/>
    <x v="6"/>
    <x v="2"/>
    <x v="5"/>
  </r>
  <r>
    <x v="72"/>
    <x v="13"/>
    <x v="0"/>
    <x v="2"/>
    <x v="11"/>
    <x v="5"/>
    <x v="6"/>
    <x v="0"/>
    <x v="0"/>
    <x v="0"/>
  </r>
  <r>
    <x v="73"/>
    <x v="13"/>
    <x v="0"/>
    <x v="1"/>
    <x v="13"/>
    <x v="2"/>
    <x v="2"/>
    <x v="0"/>
    <x v="0"/>
    <x v="0"/>
  </r>
  <r>
    <x v="74"/>
    <x v="13"/>
    <x v="0"/>
    <x v="2"/>
    <x v="33"/>
    <x v="5"/>
    <x v="6"/>
    <x v="0"/>
    <x v="1"/>
    <x v="0"/>
  </r>
  <r>
    <x v="75"/>
    <x v="13"/>
    <x v="0"/>
    <x v="1"/>
    <x v="35"/>
    <x v="2"/>
    <x v="2"/>
    <x v="0"/>
    <x v="1"/>
    <x v="0"/>
  </r>
  <r>
    <x v="76"/>
    <x v="13"/>
    <x v="0"/>
    <x v="2"/>
    <x v="55"/>
    <x v="5"/>
    <x v="12"/>
    <x v="5"/>
    <x v="2"/>
    <x v="5"/>
  </r>
  <r>
    <x v="77"/>
    <x v="13"/>
    <x v="0"/>
    <x v="1"/>
    <x v="57"/>
    <x v="2"/>
    <x v="5"/>
    <x v="4"/>
    <x v="2"/>
    <x v="2"/>
  </r>
  <r>
    <x v="78"/>
    <x v="14"/>
    <x v="12"/>
    <x v="3"/>
    <x v="6"/>
    <x v="7"/>
    <x v="10"/>
    <x v="0"/>
    <x v="0"/>
    <x v="0"/>
  </r>
  <r>
    <x v="79"/>
    <x v="14"/>
    <x v="12"/>
    <x v="4"/>
    <x v="8"/>
    <x v="3"/>
    <x v="4"/>
    <x v="0"/>
    <x v="0"/>
    <x v="0"/>
  </r>
  <r>
    <x v="80"/>
    <x v="14"/>
    <x v="12"/>
    <x v="3"/>
    <x v="28"/>
    <x v="7"/>
    <x v="10"/>
    <x v="0"/>
    <x v="1"/>
    <x v="0"/>
  </r>
  <r>
    <x v="81"/>
    <x v="14"/>
    <x v="12"/>
    <x v="4"/>
    <x v="30"/>
    <x v="3"/>
    <x v="4"/>
    <x v="0"/>
    <x v="1"/>
    <x v="0"/>
  </r>
  <r>
    <x v="82"/>
    <x v="14"/>
    <x v="12"/>
    <x v="3"/>
    <x v="50"/>
    <x v="7"/>
    <x v="14"/>
    <x v="8"/>
    <x v="2"/>
    <x v="9"/>
  </r>
  <r>
    <x v="83"/>
    <x v="14"/>
    <x v="12"/>
    <x v="4"/>
    <x v="52"/>
    <x v="3"/>
    <x v="7"/>
    <x v="7"/>
    <x v="2"/>
    <x v="3"/>
  </r>
  <r>
    <x v="84"/>
    <x v="15"/>
    <x v="4"/>
    <x v="0"/>
    <x v="10"/>
    <x v="4"/>
    <x v="5"/>
    <x v="0"/>
    <x v="0"/>
    <x v="0"/>
  </r>
  <r>
    <x v="85"/>
    <x v="15"/>
    <x v="4"/>
    <x v="1"/>
    <x v="12"/>
    <x v="1"/>
    <x v="1"/>
    <x v="0"/>
    <x v="0"/>
    <x v="0"/>
  </r>
  <r>
    <x v="86"/>
    <x v="15"/>
    <x v="4"/>
    <x v="0"/>
    <x v="32"/>
    <x v="4"/>
    <x v="5"/>
    <x v="0"/>
    <x v="1"/>
    <x v="0"/>
  </r>
  <r>
    <x v="87"/>
    <x v="15"/>
    <x v="4"/>
    <x v="1"/>
    <x v="34"/>
    <x v="1"/>
    <x v="1"/>
    <x v="0"/>
    <x v="1"/>
    <x v="0"/>
  </r>
  <r>
    <x v="88"/>
    <x v="15"/>
    <x v="4"/>
    <x v="0"/>
    <x v="54"/>
    <x v="4"/>
    <x v="9"/>
    <x v="3"/>
    <x v="2"/>
    <x v="6"/>
  </r>
  <r>
    <x v="89"/>
    <x v="15"/>
    <x v="4"/>
    <x v="1"/>
    <x v="56"/>
    <x v="1"/>
    <x v="3"/>
    <x v="2"/>
    <x v="2"/>
    <x v="1"/>
  </r>
</pivotCacheRecords>
</file>

<file path=xl/pivotCache/pivotCacheRecords2.xml><?xml version="1.0" encoding="utf-8"?>
<pivotCacheRecords xmlns="http://schemas.openxmlformats.org/spreadsheetml/2006/main" xmlns:r="http://schemas.openxmlformats.org/officeDocument/2006/relationships" count="20">
  <r>
    <x v="0"/>
    <x v="14"/>
    <x v="12"/>
    <x v="7"/>
    <x v="0"/>
    <x v="0"/>
    <x v="2"/>
  </r>
  <r>
    <x v="1"/>
    <x v="16"/>
    <x v="9"/>
    <x v="4"/>
    <x v="2"/>
    <x v="0"/>
    <x v="2"/>
  </r>
  <r>
    <x v="2"/>
    <x v="1"/>
    <x v="6"/>
    <x v="6"/>
    <x v="1"/>
    <x v="0"/>
    <x v="2"/>
  </r>
  <r>
    <x v="3"/>
    <x v="8"/>
    <x v="15"/>
    <x v="5"/>
    <x v="3"/>
    <x v="0"/>
    <x v="2"/>
  </r>
  <r>
    <x v="4"/>
    <x v="6"/>
    <x v="17"/>
    <x v="8"/>
    <x v="8"/>
    <x v="2"/>
    <x v="3"/>
  </r>
  <r>
    <x v="5"/>
    <x v="17"/>
    <x v="10"/>
    <x v="8"/>
    <x v="8"/>
    <x v="2"/>
    <x v="3"/>
  </r>
  <r>
    <x v="6"/>
    <x v="10"/>
    <x v="19"/>
    <x v="8"/>
    <x v="8"/>
    <x v="2"/>
    <x v="3"/>
  </r>
  <r>
    <x v="7"/>
    <x v="7"/>
    <x v="7"/>
    <x v="8"/>
    <x v="8"/>
    <x v="2"/>
    <x v="3"/>
  </r>
  <r>
    <x v="8"/>
    <x v="3"/>
    <x v="5"/>
    <x v="8"/>
    <x v="8"/>
    <x v="2"/>
    <x v="1"/>
  </r>
  <r>
    <x v="9"/>
    <x v="9"/>
    <x v="13"/>
    <x v="8"/>
    <x v="8"/>
    <x v="2"/>
    <x v="1"/>
  </r>
  <r>
    <x v="10"/>
    <x v="19"/>
    <x v="8"/>
    <x v="8"/>
    <x v="8"/>
    <x v="2"/>
    <x v="1"/>
  </r>
  <r>
    <x v="11"/>
    <x v="12"/>
    <x v="4"/>
    <x v="8"/>
    <x v="8"/>
    <x v="2"/>
    <x v="1"/>
  </r>
  <r>
    <x v="12"/>
    <x v="2"/>
    <x v="0"/>
    <x v="2"/>
    <x v="6"/>
    <x v="1"/>
    <x v="2"/>
  </r>
  <r>
    <x v="13"/>
    <x v="0"/>
    <x v="2"/>
    <x v="1"/>
    <x v="5"/>
    <x v="1"/>
    <x v="2"/>
  </r>
  <r>
    <x v="14"/>
    <x v="15"/>
    <x v="1"/>
    <x v="3"/>
    <x v="4"/>
    <x v="1"/>
    <x v="2"/>
  </r>
  <r>
    <x v="15"/>
    <x v="5"/>
    <x v="3"/>
    <x v="0"/>
    <x v="7"/>
    <x v="1"/>
    <x v="2"/>
  </r>
  <r>
    <x v="16"/>
    <x v="4"/>
    <x v="16"/>
    <x v="8"/>
    <x v="8"/>
    <x v="2"/>
    <x v="0"/>
  </r>
  <r>
    <x v="17"/>
    <x v="11"/>
    <x v="14"/>
    <x v="8"/>
    <x v="8"/>
    <x v="2"/>
    <x v="0"/>
  </r>
  <r>
    <x v="18"/>
    <x v="13"/>
    <x v="18"/>
    <x v="8"/>
    <x v="8"/>
    <x v="2"/>
    <x v="0"/>
  </r>
  <r>
    <x v="19"/>
    <x v="18"/>
    <x v="11"/>
    <x v="8"/>
    <x v="8"/>
    <x v="2"/>
    <x v="0"/>
  </r>
</pivotCacheRecords>
</file>

<file path=xl/pivotCache/pivotCacheRecords3.xml><?xml version="1.0" encoding="utf-8"?>
<pivotCacheRecords xmlns="http://schemas.openxmlformats.org/spreadsheetml/2006/main" xmlns:r="http://schemas.openxmlformats.org/officeDocument/2006/relationships" count="4">
  <r>
    <x v="0"/>
    <x v="2"/>
    <x v="1"/>
    <x v="1"/>
    <x v="1"/>
    <x v="1"/>
    <x v="0"/>
  </r>
  <r>
    <x v="1"/>
    <x v="3"/>
    <x v="2"/>
    <x v="3"/>
    <x v="1"/>
    <x v="3"/>
    <x v="0"/>
  </r>
  <r>
    <x v="2"/>
    <x v="0"/>
    <x v="0"/>
    <x v="0"/>
    <x v="0"/>
    <x v="0"/>
    <x v="1"/>
  </r>
  <r>
    <x v="3"/>
    <x v="1"/>
    <x v="3"/>
    <x v="2"/>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3" applyNumberFormats="0" applyBorderFormats="0" applyFontFormats="0" applyPatternFormats="0" applyAlignmentFormats="0" applyWidthHeightFormats="0" dataCaption="Values" updatedVersion="8" itemPrintTitles="1" indent="0" outline="1" outlineData="1">
  <location ref="A3:I11" firstHeaderRow="1" firstDataRow="3" firstDataCol="1"/>
  <pivotFields count="11">
    <pivotField showAll="0"/>
    <pivotField showAll="0"/>
    <pivotField showAll="0"/>
    <pivotField axis="axisRow" showAll="0">
      <items count="6">
        <item x="0"/>
        <item x="1"/>
        <item x="2"/>
        <item x="3"/>
        <item x="4"/>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dataField="1" showAll="0"/>
    <pivotField dataField="1" showAll="0"/>
    <pivotField showAll="0"/>
    <pivotField showAll="0"/>
    <pivotField showAll="0"/>
    <pivotField axis="axisCol" showAll="0" includeNewItemsInFilter="1">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2">
    <field x="-2"/>
    <field x="10"/>
  </colFields>
  <colItems count="8">
    <i>
      <x/>
      <x v="3"/>
    </i>
    <i r="1">
      <x v="4"/>
    </i>
    <i r="1">
      <x v="5"/>
    </i>
    <i i="1">
      <x v="1"/>
      <x v="3"/>
    </i>
    <i r="1" i="1">
      <x v="4"/>
    </i>
    <i r="1" i="1">
      <x v="5"/>
    </i>
    <i t="grand">
      <x/>
    </i>
    <i t="grand" i="1">
      <x/>
    </i>
  </colItems>
  <dataFields count="2">
    <dataField name="Sum of ExpectedAmount" fld="5" baseField="0" baseItem="0"/>
    <dataField name="Sum of ActualPaidAmount" fld="6"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2" cacheId="1" applyNumberFormats="0" applyBorderFormats="0" applyFontFormats="0" applyPatternFormats="0" applyAlignmentFormats="0" applyWidthHeightFormats="0" dataCaption="Values" itemPrintTitles="1" indent="0" outline="1" outlineData="1">
  <location ref="A3:B8" firstHeaderRow="1" firstDataRow="1" firstDataCol="1"/>
  <pivotFields count="7">
    <pivotField dataField="1" showAll="0"/>
    <pivotField showAll="0"/>
    <pivotField showAll="0"/>
    <pivotField showAll="0"/>
    <pivotField showAll="0"/>
    <pivotField showAll="0"/>
    <pivotField axis="axisRow" showAll="0">
      <items count="5">
        <item x="0"/>
        <item x="1"/>
        <item x="2"/>
        <item x="3"/>
        <item t="default"/>
      </items>
    </pivotField>
  </pivotFields>
  <rowFields count="1">
    <field x="6"/>
  </rowFields>
  <dataFields count="1">
    <dataField name="Count of CustomerID"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 cacheId="3" applyNumberFormats="0" applyBorderFormats="0" applyFontFormats="0" applyPatternFormats="0" applyAlignmentFormats="0" applyWidthHeightFormats="0" dataCaption="Values" updatedVersion="8" itemPrintTitles="1" indent="0" outline="1" outlineData="1">
  <location ref="A3:B9" firstHeaderRow="1" firstDataRow="1" firstDataCol="1"/>
  <pivotFields count="11">
    <pivotField showAll="0"/>
    <pivotField showAll="0"/>
    <pivotField showAll="0"/>
    <pivotField axis="axisRow" showAll="0">
      <items count="6">
        <item x="0"/>
        <item x="1"/>
        <item x="2"/>
        <item x="3"/>
        <item x="4"/>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dataField="1" showAll="0"/>
    <pivotField showAll="0" includeNewItemsInFilter="1">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ExtraCharged" fld="9"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4" cacheId="2" applyNumberFormats="0" applyBorderFormats="0" applyFontFormats="0" applyPatternFormats="0" applyAlignmentFormats="0" applyWidthHeightFormats="0" dataCaption="Values" itemPrintTitles="1" indent="0" outline="1" outlineData="1">
  <location ref="A3:B6" firstHeaderRow="1" firstDataRow="1" firstDataCol="1"/>
  <pivotFields count="7">
    <pivotField showAll="0"/>
    <pivotField showAll="0"/>
    <pivotField showAll="0"/>
    <pivotField showAll="0"/>
    <pivotField dataField="1" showAll="0"/>
    <pivotField showAll="0"/>
    <pivotField axis="axisRow" showAll="0">
      <items count="3">
        <item x="0"/>
        <item x="1"/>
        <item t="default"/>
      </items>
    </pivotField>
  </pivotFields>
  <rowFields count="1">
    <field x="6"/>
  </rowFields>
  <dataFields count="1">
    <dataField name="Average of OfferedRatePct" fld="4" subtotal="average"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RawTransactions" displayName="RawTransactions" ref="A1:J91" totalsRowShown="0">
  <autoFilter ref="A1:J91" xr:uid="{00000000-0009-0000-0100-000003000000}"/>
  <tableColumns count="10">
    <tableColumn id="1" xr3:uid="{00000000-0010-0000-0000-000001000000}" name="ObligationID"/>
    <tableColumn id="2" xr3:uid="{00000000-0010-0000-0000-000002000000}" name="CustomerID"/>
    <tableColumn id="3" xr3:uid="{00000000-0010-0000-0000-000003000000}" name="CustomerName"/>
    <tableColumn id="4" xr3:uid="{00000000-0010-0000-0000-000004000000}" name="Provider"/>
    <tableColumn id="5" xr3:uid="{00000000-0010-0000-0000-000005000000}" name="DueDate"/>
    <tableColumn id="6" xr3:uid="{00000000-0010-0000-0000-000006000000}" name="ExpectedAmount"/>
    <tableColumn id="7" xr3:uid="{00000000-0010-0000-0000-000007000000}" name="ActualPaidAmount"/>
    <tableColumn id="8" xr3:uid="{00000000-0010-0000-0000-000008000000}" name="DaysLate"/>
    <tableColumn id="9" xr3:uid="{00000000-0010-0000-0000-000009000000}" name="Cycle"/>
    <tableColumn id="10" xr3:uid="{00000000-0010-0000-0000-00000A000000}" name="ExtraCharge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RawCustomers" displayName="RawCustomers" ref="A1:G21" totalsRowShown="0">
  <autoFilter ref="A1:G21" xr:uid="{00000000-0009-0000-0100-000001000000}"/>
  <tableColumns count="7">
    <tableColumn id="1" xr3:uid="{00000000-0010-0000-0100-000001000000}" name="CustomerID"/>
    <tableColumn id="2" xr3:uid="{00000000-0010-0000-0100-000002000000}" name="FullName"/>
    <tableColumn id="3" xr3:uid="{00000000-0010-0000-0100-000003000000}" name="MonthlyIncome"/>
    <tableColumn id="4" xr3:uid="{00000000-0010-0000-0100-000004000000}" name="CreditScore"/>
    <tableColumn id="5" xr3:uid="{00000000-0010-0000-0100-000005000000}" name="DSR_Pct"/>
    <tableColumn id="6" xr3:uid="{00000000-0010-0000-0100-000006000000}" name="EligibilityOutcome"/>
    <tableColumn id="7" xr3:uid="{00000000-0010-0000-0100-000007000000}" name="Segme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RawOffers" displayName="RawOffers" ref="A1:G5" totalsRowShown="0">
  <autoFilter ref="A1:G5" xr:uid="{00000000-0009-0000-0100-000002000000}"/>
  <tableColumns count="7">
    <tableColumn id="1" xr3:uid="{00000000-0010-0000-0200-000001000000}" name="CustomerID"/>
    <tableColumn id="2" xr3:uid="{00000000-0010-0000-0200-000002000000}" name="FullName"/>
    <tableColumn id="3" xr3:uid="{00000000-0010-0000-0200-000003000000}" name="OfferDate"/>
    <tableColumn id="4" xr3:uid="{00000000-0010-0000-0200-000004000000}" name="TotalAmount"/>
    <tableColumn id="5" xr3:uid="{00000000-0010-0000-0200-000005000000}" name="OfferedRatePct"/>
    <tableColumn id="6" xr3:uid="{00000000-0010-0000-0200-000006000000}" name="MonthlyPayment"/>
    <tableColumn id="7" xr3:uid="{00000000-0010-0000-0200-000007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C24"/>
  <sheetViews>
    <sheetView topLeftCell="A12" zoomScaleNormal="100" workbookViewId="0">
      <selection activeCell="B30" sqref="B30"/>
    </sheetView>
  </sheetViews>
  <sheetFormatPr defaultColWidth="8.6640625" defaultRowHeight="14.4" x14ac:dyDescent="0.3"/>
  <cols>
    <col min="1" max="1" width="3" customWidth="1"/>
    <col min="2" max="2" width="30" customWidth="1"/>
    <col min="3" max="3" width="62" customWidth="1"/>
  </cols>
  <sheetData>
    <row r="2" spans="2:3" ht="23.25" customHeight="1" x14ac:dyDescent="0.45">
      <c r="B2" s="7" t="s">
        <v>0</v>
      </c>
    </row>
    <row r="3" spans="2:3" ht="39.75" customHeight="1" x14ac:dyDescent="0.3">
      <c r="B3" s="38" t="s">
        <v>1</v>
      </c>
      <c r="C3" s="38"/>
    </row>
    <row r="5" spans="2:3" ht="17.25" customHeight="1" x14ac:dyDescent="0.35">
      <c r="B5" s="4" t="s">
        <v>2</v>
      </c>
    </row>
    <row r="6" spans="2:3" ht="39.75" customHeight="1" x14ac:dyDescent="0.3">
      <c r="B6" s="39" t="s">
        <v>3</v>
      </c>
      <c r="C6" s="39"/>
    </row>
    <row r="8" spans="2:3" x14ac:dyDescent="0.3">
      <c r="B8" s="8" t="s">
        <v>4</v>
      </c>
      <c r="C8" s="8" t="s">
        <v>5</v>
      </c>
    </row>
    <row r="9" spans="2:3" ht="33.75" customHeight="1" x14ac:dyDescent="0.3">
      <c r="B9" s="9" t="s">
        <v>6</v>
      </c>
      <c r="C9" s="6" t="s">
        <v>7</v>
      </c>
    </row>
    <row r="10" spans="2:3" ht="33.75" customHeight="1" x14ac:dyDescent="0.3">
      <c r="B10" s="9" t="s">
        <v>8</v>
      </c>
      <c r="C10" s="6" t="s">
        <v>9</v>
      </c>
    </row>
    <row r="11" spans="2:3" ht="33.75" customHeight="1" x14ac:dyDescent="0.3">
      <c r="B11" s="9" t="s">
        <v>10</v>
      </c>
      <c r="C11" s="6" t="s">
        <v>11</v>
      </c>
    </row>
    <row r="12" spans="2:3" ht="33.75" customHeight="1" x14ac:dyDescent="0.3">
      <c r="B12" s="9" t="s">
        <v>12</v>
      </c>
      <c r="C12" s="6" t="s">
        <v>13</v>
      </c>
    </row>
    <row r="13" spans="2:3" ht="33.75" customHeight="1" x14ac:dyDescent="0.3">
      <c r="B13" s="9" t="s">
        <v>14</v>
      </c>
      <c r="C13" s="6" t="s">
        <v>15</v>
      </c>
    </row>
    <row r="14" spans="2:3" ht="48" customHeight="1" x14ac:dyDescent="0.3">
      <c r="B14" s="9" t="s">
        <v>16</v>
      </c>
      <c r="C14" s="6" t="s">
        <v>17</v>
      </c>
    </row>
    <row r="15" spans="2:3" ht="33.75" customHeight="1" x14ac:dyDescent="0.3">
      <c r="B15" s="9" t="s">
        <v>18</v>
      </c>
      <c r="C15" s="6" t="s">
        <v>19</v>
      </c>
    </row>
    <row r="16" spans="2:3" ht="33.75" customHeight="1" x14ac:dyDescent="0.3">
      <c r="B16" s="9" t="s">
        <v>20</v>
      </c>
      <c r="C16" s="6" t="s">
        <v>21</v>
      </c>
    </row>
    <row r="18" spans="2:3" ht="17.25" customHeight="1" x14ac:dyDescent="0.35">
      <c r="B18" s="40" t="s">
        <v>22</v>
      </c>
      <c r="C18" s="40"/>
    </row>
    <row r="19" spans="2:3" ht="30" customHeight="1" x14ac:dyDescent="0.3">
      <c r="B19" s="10" t="s">
        <v>23</v>
      </c>
      <c r="C19" s="5" t="s">
        <v>24</v>
      </c>
    </row>
    <row r="20" spans="2:3" ht="30" customHeight="1" x14ac:dyDescent="0.3">
      <c r="B20" s="10" t="s">
        <v>25</v>
      </c>
      <c r="C20" s="5" t="s">
        <v>26</v>
      </c>
    </row>
    <row r="21" spans="2:3" ht="30" customHeight="1" x14ac:dyDescent="0.3">
      <c r="B21" s="10" t="s">
        <v>27</v>
      </c>
      <c r="C21" s="5" t="s">
        <v>28</v>
      </c>
    </row>
    <row r="22" spans="2:3" ht="30" customHeight="1" x14ac:dyDescent="0.3">
      <c r="B22" s="10" t="s">
        <v>29</v>
      </c>
      <c r="C22" s="5" t="s">
        <v>30</v>
      </c>
    </row>
    <row r="24" spans="2:3" ht="39.75" customHeight="1" x14ac:dyDescent="0.3">
      <c r="B24" s="37" t="s">
        <v>31</v>
      </c>
      <c r="C24" s="37"/>
    </row>
  </sheetData>
  <mergeCells count="4">
    <mergeCell ref="B3:C3"/>
    <mergeCell ref="B6:C6"/>
    <mergeCell ref="B18:C18"/>
    <mergeCell ref="B24:C24"/>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9"/>
  <sheetViews>
    <sheetView topLeftCell="A4" zoomScaleNormal="100" workbookViewId="0">
      <selection activeCell="B1" sqref="B1"/>
    </sheetView>
  </sheetViews>
  <sheetFormatPr defaultColWidth="8.6640625" defaultRowHeight="14.4" x14ac:dyDescent="0.3"/>
  <cols>
    <col min="1" max="1" width="3" customWidth="1"/>
    <col min="2" max="3" width="20" customWidth="1"/>
    <col min="4" max="4" width="16" customWidth="1"/>
    <col min="5" max="5" width="55" customWidth="1"/>
  </cols>
  <sheetData>
    <row r="1" spans="1:5" x14ac:dyDescent="0.3">
      <c r="A1" t="s">
        <v>266</v>
      </c>
    </row>
    <row r="2" spans="1:5" ht="23.25" customHeight="1" x14ac:dyDescent="0.45">
      <c r="B2" s="7" t="s">
        <v>32</v>
      </c>
    </row>
    <row r="3" spans="1:5" x14ac:dyDescent="0.3">
      <c r="B3" s="36" t="s">
        <v>33</v>
      </c>
      <c r="C3" s="36"/>
      <c r="D3" s="36"/>
      <c r="E3" s="36"/>
    </row>
    <row r="5" spans="1:5" x14ac:dyDescent="0.3">
      <c r="B5" s="8" t="s">
        <v>34</v>
      </c>
      <c r="C5" s="8" t="s">
        <v>35</v>
      </c>
      <c r="D5" s="8" t="s">
        <v>36</v>
      </c>
      <c r="E5" s="8" t="s">
        <v>37</v>
      </c>
    </row>
    <row r="6" spans="1:5" ht="27.75" customHeight="1" x14ac:dyDescent="0.3">
      <c r="B6" s="10" t="s">
        <v>38</v>
      </c>
      <c r="C6" s="10" t="s">
        <v>39</v>
      </c>
      <c r="D6" s="10" t="s">
        <v>40</v>
      </c>
      <c r="E6" s="6" t="s">
        <v>41</v>
      </c>
    </row>
    <row r="7" spans="1:5" ht="27.75" customHeight="1" x14ac:dyDescent="0.3">
      <c r="B7" s="10" t="s">
        <v>38</v>
      </c>
      <c r="C7" s="10" t="s">
        <v>42</v>
      </c>
      <c r="D7" s="10" t="s">
        <v>40</v>
      </c>
      <c r="E7" s="6" t="s">
        <v>43</v>
      </c>
    </row>
    <row r="8" spans="1:5" ht="27.75" customHeight="1" x14ac:dyDescent="0.3">
      <c r="B8" s="10" t="s">
        <v>38</v>
      </c>
      <c r="C8" s="10" t="s">
        <v>44</v>
      </c>
      <c r="D8" s="10" t="s">
        <v>45</v>
      </c>
      <c r="E8" s="6" t="s">
        <v>46</v>
      </c>
    </row>
    <row r="9" spans="1:5" ht="27.75" customHeight="1" x14ac:dyDescent="0.3">
      <c r="B9" s="10" t="s">
        <v>38</v>
      </c>
      <c r="C9" s="10" t="s">
        <v>47</v>
      </c>
      <c r="D9" s="10" t="s">
        <v>45</v>
      </c>
      <c r="E9" s="6" t="s">
        <v>48</v>
      </c>
    </row>
    <row r="10" spans="1:5" ht="27.75" customHeight="1" x14ac:dyDescent="0.3">
      <c r="B10" s="10" t="s">
        <v>38</v>
      </c>
      <c r="C10" s="10" t="s">
        <v>49</v>
      </c>
      <c r="D10" s="10" t="s">
        <v>50</v>
      </c>
      <c r="E10" s="6" t="s">
        <v>51</v>
      </c>
    </row>
    <row r="11" spans="1:5" ht="27.75" customHeight="1" x14ac:dyDescent="0.3">
      <c r="B11" s="10" t="s">
        <v>38</v>
      </c>
      <c r="C11" s="10" t="s">
        <v>52</v>
      </c>
      <c r="D11" s="10" t="s">
        <v>53</v>
      </c>
      <c r="E11" s="6" t="s">
        <v>54</v>
      </c>
    </row>
    <row r="12" spans="1:5" ht="27.75" customHeight="1" x14ac:dyDescent="0.3">
      <c r="B12" s="10" t="s">
        <v>38</v>
      </c>
      <c r="C12" s="10" t="s">
        <v>55</v>
      </c>
      <c r="D12" s="10" t="s">
        <v>53</v>
      </c>
      <c r="E12" s="6" t="s">
        <v>56</v>
      </c>
    </row>
    <row r="13" spans="1:5" ht="27.75" customHeight="1" x14ac:dyDescent="0.3">
      <c r="B13" s="10" t="s">
        <v>38</v>
      </c>
      <c r="C13" s="10" t="s">
        <v>57</v>
      </c>
      <c r="D13" s="10" t="s">
        <v>40</v>
      </c>
      <c r="E13" s="6" t="s">
        <v>58</v>
      </c>
    </row>
    <row r="14" spans="1:5" ht="27.75" customHeight="1" x14ac:dyDescent="0.3">
      <c r="B14" s="10" t="s">
        <v>38</v>
      </c>
      <c r="C14" s="10" t="s">
        <v>59</v>
      </c>
      <c r="D14" s="10" t="s">
        <v>40</v>
      </c>
      <c r="E14" s="6" t="s">
        <v>60</v>
      </c>
    </row>
    <row r="15" spans="1:5" ht="27.75" customHeight="1" x14ac:dyDescent="0.3">
      <c r="B15" s="10" t="s">
        <v>38</v>
      </c>
      <c r="C15" s="10" t="s">
        <v>61</v>
      </c>
      <c r="D15" s="10" t="s">
        <v>62</v>
      </c>
      <c r="E15" s="6" t="s">
        <v>63</v>
      </c>
    </row>
    <row r="16" spans="1:5" ht="27.75" customHeight="1" x14ac:dyDescent="0.3">
      <c r="B16" s="10" t="s">
        <v>64</v>
      </c>
      <c r="C16" s="10" t="s">
        <v>42</v>
      </c>
      <c r="D16" s="10" t="s">
        <v>40</v>
      </c>
      <c r="E16" s="6" t="s">
        <v>65</v>
      </c>
    </row>
    <row r="17" spans="2:5" ht="27.75" customHeight="1" x14ac:dyDescent="0.3">
      <c r="B17" s="10" t="s">
        <v>64</v>
      </c>
      <c r="C17" s="10" t="s">
        <v>66</v>
      </c>
      <c r="D17" s="10" t="s">
        <v>45</v>
      </c>
      <c r="E17" s="6" t="s">
        <v>67</v>
      </c>
    </row>
    <row r="18" spans="2:5" ht="27.75" customHeight="1" x14ac:dyDescent="0.3">
      <c r="B18" s="10" t="s">
        <v>64</v>
      </c>
      <c r="C18" s="10" t="s">
        <v>68</v>
      </c>
      <c r="D18" s="10" t="s">
        <v>53</v>
      </c>
      <c r="E18" s="6" t="s">
        <v>69</v>
      </c>
    </row>
    <row r="19" spans="2:5" ht="27.75" customHeight="1" x14ac:dyDescent="0.3">
      <c r="B19" s="10" t="s">
        <v>64</v>
      </c>
      <c r="C19" s="10" t="s">
        <v>70</v>
      </c>
      <c r="D19" s="10" t="s">
        <v>40</v>
      </c>
      <c r="E19" s="6" t="s">
        <v>71</v>
      </c>
    </row>
    <row r="20" spans="2:5" ht="27.75" customHeight="1" x14ac:dyDescent="0.3">
      <c r="B20" s="10" t="s">
        <v>64</v>
      </c>
      <c r="C20" s="10" t="s">
        <v>72</v>
      </c>
      <c r="D20" s="10" t="s">
        <v>73</v>
      </c>
      <c r="E20" s="6" t="s">
        <v>74</v>
      </c>
    </row>
    <row r="21" spans="2:5" ht="27.75" customHeight="1" x14ac:dyDescent="0.3">
      <c r="B21" s="10" t="s">
        <v>64</v>
      </c>
      <c r="C21" s="10" t="s">
        <v>75</v>
      </c>
      <c r="D21" s="10" t="s">
        <v>45</v>
      </c>
      <c r="E21" s="6" t="s">
        <v>76</v>
      </c>
    </row>
    <row r="22" spans="2:5" ht="27.75" customHeight="1" x14ac:dyDescent="0.3">
      <c r="B22" s="10" t="s">
        <v>64</v>
      </c>
      <c r="C22" s="10" t="s">
        <v>77</v>
      </c>
      <c r="D22" s="10" t="s">
        <v>45</v>
      </c>
      <c r="E22" s="6" t="s">
        <v>78</v>
      </c>
    </row>
    <row r="23" spans="2:5" ht="27.75" customHeight="1" x14ac:dyDescent="0.3">
      <c r="B23" s="10" t="s">
        <v>79</v>
      </c>
      <c r="C23" s="10" t="s">
        <v>42</v>
      </c>
      <c r="D23" s="10" t="s">
        <v>40</v>
      </c>
      <c r="E23" s="6" t="s">
        <v>43</v>
      </c>
    </row>
    <row r="24" spans="2:5" ht="27.75" customHeight="1" x14ac:dyDescent="0.3">
      <c r="B24" s="10" t="s">
        <v>79</v>
      </c>
      <c r="C24" s="10" t="s">
        <v>66</v>
      </c>
      <c r="D24" s="10" t="s">
        <v>45</v>
      </c>
      <c r="E24" s="6" t="s">
        <v>67</v>
      </c>
    </row>
    <row r="25" spans="2:5" ht="27.75" customHeight="1" x14ac:dyDescent="0.3">
      <c r="B25" s="10" t="s">
        <v>79</v>
      </c>
      <c r="C25" s="10" t="s">
        <v>80</v>
      </c>
      <c r="D25" s="10" t="s">
        <v>50</v>
      </c>
      <c r="E25" s="6" t="s">
        <v>81</v>
      </c>
    </row>
    <row r="26" spans="2:5" ht="27.75" customHeight="1" x14ac:dyDescent="0.3">
      <c r="B26" s="10" t="s">
        <v>79</v>
      </c>
      <c r="C26" s="10" t="s">
        <v>82</v>
      </c>
      <c r="D26" s="10" t="s">
        <v>53</v>
      </c>
      <c r="E26" s="6" t="s">
        <v>83</v>
      </c>
    </row>
    <row r="27" spans="2:5" ht="27.75" customHeight="1" x14ac:dyDescent="0.3">
      <c r="B27" s="10" t="s">
        <v>79</v>
      </c>
      <c r="C27" s="10" t="s">
        <v>84</v>
      </c>
      <c r="D27" s="10" t="s">
        <v>73</v>
      </c>
      <c r="E27" s="6" t="s">
        <v>85</v>
      </c>
    </row>
    <row r="28" spans="2:5" ht="27.75" customHeight="1" x14ac:dyDescent="0.3">
      <c r="B28" s="10" t="s">
        <v>79</v>
      </c>
      <c r="C28" s="10" t="s">
        <v>86</v>
      </c>
      <c r="D28" s="10" t="s">
        <v>53</v>
      </c>
      <c r="E28" s="6" t="s">
        <v>87</v>
      </c>
    </row>
    <row r="29" spans="2:5" ht="27.75" customHeight="1" x14ac:dyDescent="0.3">
      <c r="B29" s="10" t="s">
        <v>79</v>
      </c>
      <c r="C29" s="10" t="s">
        <v>88</v>
      </c>
      <c r="D29" s="10" t="s">
        <v>45</v>
      </c>
      <c r="E29" s="6" t="s">
        <v>89</v>
      </c>
    </row>
  </sheetData>
  <mergeCells count="1">
    <mergeCell ref="B3:E3"/>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I11"/>
  <sheetViews>
    <sheetView zoomScaleNormal="100" workbookViewId="0">
      <selection activeCell="B5" sqref="B5"/>
    </sheetView>
  </sheetViews>
  <sheetFormatPr defaultColWidth="8.6640625" defaultRowHeight="14.4" x14ac:dyDescent="0.3"/>
  <cols>
    <col min="1" max="1" width="15.5546875" customWidth="1"/>
    <col min="2" max="2" width="22.33203125" customWidth="1"/>
    <col min="3" max="3" width="23.33203125" customWidth="1"/>
    <col min="4" max="4" width="6" customWidth="1"/>
    <col min="5" max="5" width="23.6640625" customWidth="1"/>
    <col min="6" max="7" width="6" customWidth="1"/>
    <col min="8" max="8" width="27.109375" customWidth="1"/>
    <col min="9" max="9" width="28.44140625" customWidth="1"/>
    <col min="10" max="10" width="7.44140625" customWidth="1"/>
    <col min="11" max="11" width="8" customWidth="1"/>
    <col min="12" max="23" width="7.44140625" customWidth="1"/>
    <col min="24" max="30" width="7.109375" customWidth="1"/>
    <col min="31" max="45" width="8.109375" customWidth="1"/>
    <col min="46" max="52" width="6.6640625" customWidth="1"/>
    <col min="53" max="67" width="7.6640625" customWidth="1"/>
    <col min="68" max="68" width="23.6640625" customWidth="1"/>
    <col min="69" max="74" width="6.44140625" customWidth="1"/>
    <col min="75" max="89" width="7.44140625" customWidth="1"/>
    <col min="90" max="96" width="7.109375" customWidth="1"/>
    <col min="97" max="111" width="8.109375" customWidth="1"/>
    <col min="112" max="118" width="6.6640625" customWidth="1"/>
    <col min="119" max="133" width="7.6640625" customWidth="1"/>
    <col min="134" max="134" width="27.109375" customWidth="1"/>
    <col min="135" max="135" width="28.44140625" customWidth="1"/>
  </cols>
  <sheetData>
    <row r="3" spans="1:9" x14ac:dyDescent="0.3">
      <c r="B3" s="43" t="s">
        <v>272</v>
      </c>
    </row>
    <row r="4" spans="1:9" x14ac:dyDescent="0.3">
      <c r="B4" t="s">
        <v>90</v>
      </c>
      <c r="E4" t="s">
        <v>91</v>
      </c>
      <c r="H4" t="s">
        <v>273</v>
      </c>
      <c r="I4" t="s">
        <v>274</v>
      </c>
    </row>
    <row r="5" spans="1:9" x14ac:dyDescent="0.3">
      <c r="A5" s="43" t="s">
        <v>267</v>
      </c>
      <c r="B5" t="s">
        <v>269</v>
      </c>
      <c r="C5" t="s">
        <v>270</v>
      </c>
      <c r="D5" t="s">
        <v>271</v>
      </c>
      <c r="E5" t="s">
        <v>269</v>
      </c>
      <c r="F5" t="s">
        <v>270</v>
      </c>
      <c r="G5" t="s">
        <v>271</v>
      </c>
    </row>
    <row r="6" spans="1:9" x14ac:dyDescent="0.3">
      <c r="A6" s="44" t="s">
        <v>92</v>
      </c>
      <c r="B6" s="45">
        <v>7500</v>
      </c>
      <c r="C6" s="45">
        <v>7500</v>
      </c>
      <c r="D6" s="45">
        <v>7500</v>
      </c>
      <c r="E6" s="45">
        <v>7500</v>
      </c>
      <c r="F6" s="45">
        <v>7500</v>
      </c>
      <c r="G6" s="45">
        <v>7775</v>
      </c>
      <c r="H6" s="45">
        <v>22500</v>
      </c>
      <c r="I6" s="45">
        <v>22775</v>
      </c>
    </row>
    <row r="7" spans="1:9" x14ac:dyDescent="0.3">
      <c r="A7" s="44" t="s">
        <v>93</v>
      </c>
      <c r="B7" s="45">
        <v>2350</v>
      </c>
      <c r="C7" s="45">
        <v>2350</v>
      </c>
      <c r="D7" s="45">
        <v>2350</v>
      </c>
      <c r="E7" s="45">
        <v>2350</v>
      </c>
      <c r="F7" s="45">
        <v>2350</v>
      </c>
      <c r="G7" s="45">
        <v>2675</v>
      </c>
      <c r="H7" s="45">
        <v>7050</v>
      </c>
      <c r="I7" s="45">
        <v>7375</v>
      </c>
    </row>
    <row r="8" spans="1:9" x14ac:dyDescent="0.3">
      <c r="A8" s="44" t="s">
        <v>94</v>
      </c>
      <c r="B8" s="45">
        <v>3150</v>
      </c>
      <c r="C8" s="45">
        <v>3150</v>
      </c>
      <c r="D8" s="45">
        <v>3150</v>
      </c>
      <c r="E8" s="45">
        <v>3150</v>
      </c>
      <c r="F8" s="45">
        <v>3150</v>
      </c>
      <c r="G8" s="45">
        <v>3435</v>
      </c>
      <c r="H8" s="45">
        <v>9450</v>
      </c>
      <c r="I8" s="45">
        <v>9735</v>
      </c>
    </row>
    <row r="9" spans="1:9" x14ac:dyDescent="0.3">
      <c r="A9" s="44" t="s">
        <v>95</v>
      </c>
      <c r="B9" s="45">
        <v>11250</v>
      </c>
      <c r="C9" s="45">
        <v>11250</v>
      </c>
      <c r="D9" s="45">
        <v>11250</v>
      </c>
      <c r="E9" s="45">
        <v>11250</v>
      </c>
      <c r="F9" s="45">
        <v>11250</v>
      </c>
      <c r="G9" s="45">
        <v>12425</v>
      </c>
      <c r="H9" s="45">
        <v>33750</v>
      </c>
      <c r="I9" s="45">
        <v>34925</v>
      </c>
    </row>
    <row r="10" spans="1:9" x14ac:dyDescent="0.3">
      <c r="A10" s="44" t="s">
        <v>96</v>
      </c>
      <c r="B10" s="45">
        <v>3700</v>
      </c>
      <c r="C10" s="45">
        <v>3700</v>
      </c>
      <c r="D10" s="45">
        <v>3700</v>
      </c>
      <c r="E10" s="45">
        <v>3700</v>
      </c>
      <c r="F10" s="45">
        <v>3700</v>
      </c>
      <c r="G10" s="45">
        <v>3980</v>
      </c>
      <c r="H10" s="45">
        <v>11100</v>
      </c>
      <c r="I10" s="45">
        <v>11380</v>
      </c>
    </row>
    <row r="11" spans="1:9" x14ac:dyDescent="0.3">
      <c r="A11" s="44" t="s">
        <v>268</v>
      </c>
      <c r="B11" s="45">
        <v>27950</v>
      </c>
      <c r="C11" s="45">
        <v>27950</v>
      </c>
      <c r="D11" s="45">
        <v>27950</v>
      </c>
      <c r="E11" s="45">
        <v>27950</v>
      </c>
      <c r="F11" s="45">
        <v>27950</v>
      </c>
      <c r="G11" s="45">
        <v>30290</v>
      </c>
      <c r="H11" s="45">
        <v>83850</v>
      </c>
      <c r="I11" s="45">
        <v>86190</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8"/>
  <sheetViews>
    <sheetView zoomScaleNormal="100" workbookViewId="0">
      <selection activeCell="A3" sqref="A3"/>
    </sheetView>
  </sheetViews>
  <sheetFormatPr defaultColWidth="8.6640625" defaultRowHeight="14.4" x14ac:dyDescent="0.3"/>
  <cols>
    <col min="1" max="1" width="15" customWidth="1"/>
    <col min="2" max="2" width="18.88671875" customWidth="1"/>
  </cols>
  <sheetData>
    <row r="3" spans="1:2" x14ac:dyDescent="0.3">
      <c r="A3" s="14" t="s">
        <v>77</v>
      </c>
      <c r="B3" s="15" t="s">
        <v>115</v>
      </c>
    </row>
    <row r="4" spans="1:2" x14ac:dyDescent="0.3">
      <c r="A4" s="11" t="s">
        <v>116</v>
      </c>
      <c r="B4" s="16">
        <v>4</v>
      </c>
    </row>
    <row r="5" spans="1:2" x14ac:dyDescent="0.3">
      <c r="A5" s="12" t="s">
        <v>117</v>
      </c>
      <c r="B5" s="17">
        <v>4</v>
      </c>
    </row>
    <row r="6" spans="1:2" x14ac:dyDescent="0.3">
      <c r="A6" s="12" t="s">
        <v>118</v>
      </c>
      <c r="B6" s="17">
        <v>8</v>
      </c>
    </row>
    <row r="7" spans="1:2" x14ac:dyDescent="0.3">
      <c r="A7" s="12" t="s">
        <v>119</v>
      </c>
      <c r="B7" s="18">
        <v>4</v>
      </c>
    </row>
    <row r="8" spans="1:2" x14ac:dyDescent="0.3">
      <c r="A8" s="13" t="s">
        <v>97</v>
      </c>
      <c r="B8" s="19">
        <v>20</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zoomScaleNormal="100" workbookViewId="0">
      <selection activeCell="A4" sqref="A4"/>
    </sheetView>
  </sheetViews>
  <sheetFormatPr defaultColWidth="8.6640625" defaultRowHeight="14.4" x14ac:dyDescent="0.3"/>
  <cols>
    <col min="1" max="1" width="15.5546875" customWidth="1"/>
    <col min="2" max="2" width="18.88671875" customWidth="1"/>
  </cols>
  <sheetData>
    <row r="3" spans="1:2" x14ac:dyDescent="0.3">
      <c r="A3" s="43" t="s">
        <v>267</v>
      </c>
      <c r="B3" t="s">
        <v>98</v>
      </c>
    </row>
    <row r="4" spans="1:2" x14ac:dyDescent="0.3">
      <c r="A4" s="44" t="s">
        <v>92</v>
      </c>
      <c r="B4" s="45">
        <v>275</v>
      </c>
    </row>
    <row r="5" spans="1:2" x14ac:dyDescent="0.3">
      <c r="A5" s="44" t="s">
        <v>93</v>
      </c>
      <c r="B5" s="45">
        <v>325</v>
      </c>
    </row>
    <row r="6" spans="1:2" x14ac:dyDescent="0.3">
      <c r="A6" s="44" t="s">
        <v>94</v>
      </c>
      <c r="B6" s="45">
        <v>285</v>
      </c>
    </row>
    <row r="7" spans="1:2" x14ac:dyDescent="0.3">
      <c r="A7" s="44" t="s">
        <v>95</v>
      </c>
      <c r="B7" s="45">
        <v>1175</v>
      </c>
    </row>
    <row r="8" spans="1:2" x14ac:dyDescent="0.3">
      <c r="A8" s="44" t="s">
        <v>96</v>
      </c>
      <c r="B8" s="45">
        <v>280</v>
      </c>
    </row>
    <row r="9" spans="1:2" x14ac:dyDescent="0.3">
      <c r="A9" s="44" t="s">
        <v>268</v>
      </c>
      <c r="B9" s="45">
        <v>2340</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6"/>
  <sheetViews>
    <sheetView zoomScaleNormal="100" workbookViewId="0">
      <selection activeCell="A3" sqref="A3"/>
    </sheetView>
  </sheetViews>
  <sheetFormatPr defaultColWidth="8.6640625" defaultRowHeight="14.4" x14ac:dyDescent="0.3"/>
  <cols>
    <col min="1" max="1" width="12.5546875" customWidth="1"/>
    <col min="2" max="2" width="23.77734375" customWidth="1"/>
  </cols>
  <sheetData>
    <row r="3" spans="1:2" x14ac:dyDescent="0.3">
      <c r="A3" s="14" t="s">
        <v>88</v>
      </c>
      <c r="B3" s="15" t="s">
        <v>127</v>
      </c>
    </row>
    <row r="4" spans="1:2" x14ac:dyDescent="0.3">
      <c r="A4" s="11" t="s">
        <v>128</v>
      </c>
      <c r="B4" s="16">
        <v>0.15</v>
      </c>
    </row>
    <row r="5" spans="1:2" x14ac:dyDescent="0.3">
      <c r="A5" s="12" t="s">
        <v>129</v>
      </c>
      <c r="B5" s="18">
        <v>0.14000000000000001</v>
      </c>
    </row>
    <row r="6" spans="1:2" x14ac:dyDescent="0.3">
      <c r="A6" s="13" t="s">
        <v>97</v>
      </c>
      <c r="B6" s="19">
        <v>0.14749999999999999</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91"/>
  <sheetViews>
    <sheetView topLeftCell="A2" zoomScaleNormal="100" workbookViewId="0">
      <selection activeCell="E6" sqref="E6"/>
    </sheetView>
  </sheetViews>
  <sheetFormatPr defaultColWidth="8.6640625" defaultRowHeight="14.4" x14ac:dyDescent="0.3"/>
  <cols>
    <col min="1" max="1" width="12" customWidth="1"/>
    <col min="2" max="2" width="11" customWidth="1"/>
    <col min="3" max="3" width="18" customWidth="1"/>
    <col min="4" max="4" width="17" customWidth="1"/>
    <col min="5" max="5" width="12" customWidth="1"/>
    <col min="6" max="6" width="15" customWidth="1"/>
    <col min="7" max="7" width="16" customWidth="1"/>
    <col min="8" max="8" width="9" customWidth="1"/>
    <col min="9" max="9" width="7" customWidth="1"/>
    <col min="10" max="10" width="12" customWidth="1"/>
  </cols>
  <sheetData>
    <row r="1" spans="1:10" x14ac:dyDescent="0.3">
      <c r="A1" s="8" t="s">
        <v>39</v>
      </c>
      <c r="B1" s="8" t="s">
        <v>42</v>
      </c>
      <c r="C1" s="8" t="s">
        <v>44</v>
      </c>
      <c r="D1" s="8" t="s">
        <v>47</v>
      </c>
      <c r="E1" s="8" t="s">
        <v>49</v>
      </c>
      <c r="F1" s="8" t="s">
        <v>52</v>
      </c>
      <c r="G1" s="8" t="s">
        <v>55</v>
      </c>
      <c r="H1" s="8" t="s">
        <v>57</v>
      </c>
      <c r="I1" s="8" t="s">
        <v>59</v>
      </c>
      <c r="J1" s="8" t="s">
        <v>61</v>
      </c>
    </row>
    <row r="2" spans="1:10" x14ac:dyDescent="0.3">
      <c r="A2">
        <v>1</v>
      </c>
      <c r="B2">
        <v>101</v>
      </c>
      <c r="C2" t="s">
        <v>99</v>
      </c>
      <c r="D2" t="s">
        <v>95</v>
      </c>
      <c r="E2" s="20">
        <v>46096</v>
      </c>
      <c r="F2">
        <v>1200</v>
      </c>
      <c r="G2">
        <v>1200</v>
      </c>
      <c r="H2">
        <v>0</v>
      </c>
      <c r="I2">
        <v>1</v>
      </c>
      <c r="J2">
        <f t="shared" ref="J2:J33" si="0">G2-F2</f>
        <v>0</v>
      </c>
    </row>
    <row r="3" spans="1:10" x14ac:dyDescent="0.3">
      <c r="A3">
        <v>2</v>
      </c>
      <c r="B3">
        <v>101</v>
      </c>
      <c r="C3" t="s">
        <v>99</v>
      </c>
      <c r="D3" t="s">
        <v>92</v>
      </c>
      <c r="E3" s="20">
        <v>46099</v>
      </c>
      <c r="F3">
        <v>800</v>
      </c>
      <c r="G3">
        <v>800</v>
      </c>
      <c r="H3">
        <v>0</v>
      </c>
      <c r="I3">
        <v>1</v>
      </c>
      <c r="J3">
        <f t="shared" si="0"/>
        <v>0</v>
      </c>
    </row>
    <row r="4" spans="1:10" x14ac:dyDescent="0.3">
      <c r="A4">
        <v>3</v>
      </c>
      <c r="B4">
        <v>101</v>
      </c>
      <c r="C4" t="s">
        <v>99</v>
      </c>
      <c r="D4" t="s">
        <v>95</v>
      </c>
      <c r="E4" s="20">
        <v>46127</v>
      </c>
      <c r="F4">
        <v>1200</v>
      </c>
      <c r="G4">
        <v>1200</v>
      </c>
      <c r="H4">
        <v>0</v>
      </c>
      <c r="I4">
        <v>2</v>
      </c>
      <c r="J4">
        <f t="shared" si="0"/>
        <v>0</v>
      </c>
    </row>
    <row r="5" spans="1:10" x14ac:dyDescent="0.3">
      <c r="A5">
        <v>4</v>
      </c>
      <c r="B5">
        <v>101</v>
      </c>
      <c r="C5" t="s">
        <v>99</v>
      </c>
      <c r="D5" t="s">
        <v>92</v>
      </c>
      <c r="E5" s="20">
        <v>46130</v>
      </c>
      <c r="F5">
        <v>800</v>
      </c>
      <c r="G5">
        <v>800</v>
      </c>
      <c r="H5">
        <v>0</v>
      </c>
      <c r="I5">
        <v>2</v>
      </c>
      <c r="J5">
        <f t="shared" si="0"/>
        <v>0</v>
      </c>
    </row>
    <row r="6" spans="1:10" x14ac:dyDescent="0.3">
      <c r="A6">
        <v>5</v>
      </c>
      <c r="B6">
        <v>101</v>
      </c>
      <c r="C6" t="s">
        <v>99</v>
      </c>
      <c r="D6" t="s">
        <v>95</v>
      </c>
      <c r="E6" s="20">
        <v>46157</v>
      </c>
      <c r="F6">
        <v>1200</v>
      </c>
      <c r="G6">
        <v>1450</v>
      </c>
      <c r="H6">
        <v>7</v>
      </c>
      <c r="I6">
        <v>3</v>
      </c>
      <c r="J6">
        <f t="shared" si="0"/>
        <v>250</v>
      </c>
    </row>
    <row r="7" spans="1:10" x14ac:dyDescent="0.3">
      <c r="A7">
        <v>6</v>
      </c>
      <c r="B7">
        <v>101</v>
      </c>
      <c r="C7" t="s">
        <v>99</v>
      </c>
      <c r="D7" t="s">
        <v>92</v>
      </c>
      <c r="E7" s="20">
        <v>46160</v>
      </c>
      <c r="F7">
        <v>800</v>
      </c>
      <c r="G7">
        <v>800</v>
      </c>
      <c r="H7">
        <v>0</v>
      </c>
      <c r="I7">
        <v>3</v>
      </c>
      <c r="J7">
        <f t="shared" si="0"/>
        <v>0</v>
      </c>
    </row>
    <row r="8" spans="1:10" x14ac:dyDescent="0.3">
      <c r="A8">
        <v>7</v>
      </c>
      <c r="B8">
        <v>102</v>
      </c>
      <c r="C8" t="s">
        <v>100</v>
      </c>
      <c r="D8" t="s">
        <v>95</v>
      </c>
      <c r="E8" s="20">
        <v>46091</v>
      </c>
      <c r="F8">
        <v>2000</v>
      </c>
      <c r="G8">
        <v>2000</v>
      </c>
      <c r="H8">
        <v>0</v>
      </c>
      <c r="I8">
        <v>1</v>
      </c>
      <c r="J8">
        <f t="shared" si="0"/>
        <v>0</v>
      </c>
    </row>
    <row r="9" spans="1:10" x14ac:dyDescent="0.3">
      <c r="A9">
        <v>8</v>
      </c>
      <c r="B9">
        <v>102</v>
      </c>
      <c r="C9" t="s">
        <v>100</v>
      </c>
      <c r="D9" t="s">
        <v>94</v>
      </c>
      <c r="E9" s="20">
        <v>46093</v>
      </c>
      <c r="F9">
        <v>1500</v>
      </c>
      <c r="G9">
        <v>1500</v>
      </c>
      <c r="H9">
        <v>0</v>
      </c>
      <c r="I9">
        <v>1</v>
      </c>
      <c r="J9">
        <f t="shared" si="0"/>
        <v>0</v>
      </c>
    </row>
    <row r="10" spans="1:10" x14ac:dyDescent="0.3">
      <c r="A10">
        <v>9</v>
      </c>
      <c r="B10">
        <v>102</v>
      </c>
      <c r="C10" t="s">
        <v>100</v>
      </c>
      <c r="D10" t="s">
        <v>96</v>
      </c>
      <c r="E10" s="20">
        <v>46095</v>
      </c>
      <c r="F10">
        <v>900</v>
      </c>
      <c r="G10">
        <v>900</v>
      </c>
      <c r="H10">
        <v>0</v>
      </c>
      <c r="I10">
        <v>1</v>
      </c>
      <c r="J10">
        <f t="shared" si="0"/>
        <v>0</v>
      </c>
    </row>
    <row r="11" spans="1:10" x14ac:dyDescent="0.3">
      <c r="A11">
        <v>10</v>
      </c>
      <c r="B11">
        <v>102</v>
      </c>
      <c r="C11" t="s">
        <v>100</v>
      </c>
      <c r="D11" t="s">
        <v>95</v>
      </c>
      <c r="E11" s="20">
        <v>46122</v>
      </c>
      <c r="F11">
        <v>2000</v>
      </c>
      <c r="G11">
        <v>2000</v>
      </c>
      <c r="H11">
        <v>0</v>
      </c>
      <c r="I11">
        <v>2</v>
      </c>
      <c r="J11">
        <f t="shared" si="0"/>
        <v>0</v>
      </c>
    </row>
    <row r="12" spans="1:10" x14ac:dyDescent="0.3">
      <c r="A12">
        <v>11</v>
      </c>
      <c r="B12">
        <v>102</v>
      </c>
      <c r="C12" t="s">
        <v>100</v>
      </c>
      <c r="D12" t="s">
        <v>94</v>
      </c>
      <c r="E12" s="20">
        <v>46124</v>
      </c>
      <c r="F12">
        <v>1500</v>
      </c>
      <c r="G12">
        <v>1500</v>
      </c>
      <c r="H12">
        <v>0</v>
      </c>
      <c r="I12">
        <v>2</v>
      </c>
      <c r="J12">
        <f t="shared" si="0"/>
        <v>0</v>
      </c>
    </row>
    <row r="13" spans="1:10" x14ac:dyDescent="0.3">
      <c r="A13">
        <v>12</v>
      </c>
      <c r="B13">
        <v>102</v>
      </c>
      <c r="C13" t="s">
        <v>100</v>
      </c>
      <c r="D13" t="s">
        <v>96</v>
      </c>
      <c r="E13" s="20">
        <v>46126</v>
      </c>
      <c r="F13">
        <v>900</v>
      </c>
      <c r="G13">
        <v>900</v>
      </c>
      <c r="H13">
        <v>0</v>
      </c>
      <c r="I13">
        <v>2</v>
      </c>
      <c r="J13">
        <f t="shared" si="0"/>
        <v>0</v>
      </c>
    </row>
    <row r="14" spans="1:10" x14ac:dyDescent="0.3">
      <c r="A14">
        <v>13</v>
      </c>
      <c r="B14">
        <v>102</v>
      </c>
      <c r="C14" t="s">
        <v>100</v>
      </c>
      <c r="D14" t="s">
        <v>95</v>
      </c>
      <c r="E14" s="20">
        <v>46152</v>
      </c>
      <c r="F14">
        <v>2000</v>
      </c>
      <c r="G14">
        <v>2300</v>
      </c>
      <c r="H14">
        <v>15</v>
      </c>
      <c r="I14">
        <v>3</v>
      </c>
      <c r="J14">
        <f t="shared" si="0"/>
        <v>300</v>
      </c>
    </row>
    <row r="15" spans="1:10" x14ac:dyDescent="0.3">
      <c r="A15">
        <v>14</v>
      </c>
      <c r="B15">
        <v>102</v>
      </c>
      <c r="C15" t="s">
        <v>100</v>
      </c>
      <c r="D15" t="s">
        <v>94</v>
      </c>
      <c r="E15" s="20">
        <v>46154</v>
      </c>
      <c r="F15">
        <v>1500</v>
      </c>
      <c r="G15">
        <v>1650</v>
      </c>
      <c r="H15">
        <v>14</v>
      </c>
      <c r="I15">
        <v>3</v>
      </c>
      <c r="J15">
        <f t="shared" si="0"/>
        <v>150</v>
      </c>
    </row>
    <row r="16" spans="1:10" x14ac:dyDescent="0.3">
      <c r="A16">
        <v>15</v>
      </c>
      <c r="B16">
        <v>102</v>
      </c>
      <c r="C16" t="s">
        <v>100</v>
      </c>
      <c r="D16" t="s">
        <v>96</v>
      </c>
      <c r="E16" s="20">
        <v>46156</v>
      </c>
      <c r="F16">
        <v>900</v>
      </c>
      <c r="G16">
        <v>900</v>
      </c>
      <c r="H16">
        <v>0</v>
      </c>
      <c r="I16">
        <v>3</v>
      </c>
      <c r="J16">
        <f t="shared" si="0"/>
        <v>0</v>
      </c>
    </row>
    <row r="17" spans="1:10" x14ac:dyDescent="0.3">
      <c r="A17">
        <v>16</v>
      </c>
      <c r="B17">
        <v>103</v>
      </c>
      <c r="C17" t="s">
        <v>101</v>
      </c>
      <c r="D17" t="s">
        <v>92</v>
      </c>
      <c r="E17" s="20">
        <v>46086</v>
      </c>
      <c r="F17">
        <v>1000</v>
      </c>
      <c r="G17">
        <v>1000</v>
      </c>
      <c r="H17">
        <v>0</v>
      </c>
      <c r="I17">
        <v>1</v>
      </c>
      <c r="J17">
        <f t="shared" si="0"/>
        <v>0</v>
      </c>
    </row>
    <row r="18" spans="1:10" x14ac:dyDescent="0.3">
      <c r="A18">
        <v>17</v>
      </c>
      <c r="B18">
        <v>103</v>
      </c>
      <c r="C18" t="s">
        <v>101</v>
      </c>
      <c r="D18" t="s">
        <v>93</v>
      </c>
      <c r="E18" s="20">
        <v>46089</v>
      </c>
      <c r="F18">
        <v>600</v>
      </c>
      <c r="G18">
        <v>600</v>
      </c>
      <c r="H18">
        <v>0</v>
      </c>
      <c r="I18">
        <v>1</v>
      </c>
      <c r="J18">
        <f t="shared" si="0"/>
        <v>0</v>
      </c>
    </row>
    <row r="19" spans="1:10" x14ac:dyDescent="0.3">
      <c r="A19">
        <v>18</v>
      </c>
      <c r="B19">
        <v>103</v>
      </c>
      <c r="C19" t="s">
        <v>101</v>
      </c>
      <c r="D19" t="s">
        <v>92</v>
      </c>
      <c r="E19" s="20">
        <v>46117</v>
      </c>
      <c r="F19">
        <v>1000</v>
      </c>
      <c r="G19">
        <v>1000</v>
      </c>
      <c r="H19">
        <v>0</v>
      </c>
      <c r="I19">
        <v>2</v>
      </c>
      <c r="J19">
        <f t="shared" si="0"/>
        <v>0</v>
      </c>
    </row>
    <row r="20" spans="1:10" x14ac:dyDescent="0.3">
      <c r="A20">
        <v>19</v>
      </c>
      <c r="B20">
        <v>103</v>
      </c>
      <c r="C20" t="s">
        <v>101</v>
      </c>
      <c r="D20" t="s">
        <v>93</v>
      </c>
      <c r="E20" s="20">
        <v>46120</v>
      </c>
      <c r="F20">
        <v>600</v>
      </c>
      <c r="G20">
        <v>600</v>
      </c>
      <c r="H20">
        <v>0</v>
      </c>
      <c r="I20">
        <v>2</v>
      </c>
      <c r="J20">
        <f t="shared" si="0"/>
        <v>0</v>
      </c>
    </row>
    <row r="21" spans="1:10" x14ac:dyDescent="0.3">
      <c r="A21">
        <v>20</v>
      </c>
      <c r="B21">
        <v>103</v>
      </c>
      <c r="C21" t="s">
        <v>101</v>
      </c>
      <c r="D21" t="s">
        <v>92</v>
      </c>
      <c r="E21" s="20">
        <v>46147</v>
      </c>
      <c r="F21">
        <v>1000</v>
      </c>
      <c r="G21">
        <v>1000</v>
      </c>
      <c r="H21">
        <v>0</v>
      </c>
      <c r="I21">
        <v>3</v>
      </c>
      <c r="J21">
        <f t="shared" si="0"/>
        <v>0</v>
      </c>
    </row>
    <row r="22" spans="1:10" x14ac:dyDescent="0.3">
      <c r="A22">
        <v>21</v>
      </c>
      <c r="B22">
        <v>103</v>
      </c>
      <c r="C22" t="s">
        <v>101</v>
      </c>
      <c r="D22" t="s">
        <v>93</v>
      </c>
      <c r="E22" s="20">
        <v>46150</v>
      </c>
      <c r="F22">
        <v>600</v>
      </c>
      <c r="G22">
        <v>730</v>
      </c>
      <c r="H22">
        <v>11</v>
      </c>
      <c r="I22">
        <v>3</v>
      </c>
      <c r="J22">
        <f t="shared" si="0"/>
        <v>130</v>
      </c>
    </row>
    <row r="23" spans="1:10" x14ac:dyDescent="0.3">
      <c r="A23">
        <v>22</v>
      </c>
      <c r="B23">
        <v>104</v>
      </c>
      <c r="C23" t="s">
        <v>102</v>
      </c>
      <c r="D23" t="s">
        <v>95</v>
      </c>
      <c r="E23" s="20">
        <v>46101</v>
      </c>
      <c r="F23">
        <v>1800</v>
      </c>
      <c r="G23">
        <v>1800</v>
      </c>
      <c r="H23">
        <v>0</v>
      </c>
      <c r="I23">
        <v>1</v>
      </c>
      <c r="J23">
        <f t="shared" si="0"/>
        <v>0</v>
      </c>
    </row>
    <row r="24" spans="1:10" x14ac:dyDescent="0.3">
      <c r="A24">
        <v>23</v>
      </c>
      <c r="B24">
        <v>104</v>
      </c>
      <c r="C24" t="s">
        <v>102</v>
      </c>
      <c r="D24" t="s">
        <v>96</v>
      </c>
      <c r="E24" s="20">
        <v>46103</v>
      </c>
      <c r="F24">
        <v>1100</v>
      </c>
      <c r="G24">
        <v>1100</v>
      </c>
      <c r="H24">
        <v>0</v>
      </c>
      <c r="I24">
        <v>1</v>
      </c>
      <c r="J24">
        <f t="shared" si="0"/>
        <v>0</v>
      </c>
    </row>
    <row r="25" spans="1:10" x14ac:dyDescent="0.3">
      <c r="A25">
        <v>24</v>
      </c>
      <c r="B25">
        <v>104</v>
      </c>
      <c r="C25" t="s">
        <v>102</v>
      </c>
      <c r="D25" t="s">
        <v>95</v>
      </c>
      <c r="E25" s="20">
        <v>46132</v>
      </c>
      <c r="F25">
        <v>1800</v>
      </c>
      <c r="G25">
        <v>1800</v>
      </c>
      <c r="H25">
        <v>0</v>
      </c>
      <c r="I25">
        <v>2</v>
      </c>
      <c r="J25">
        <f t="shared" si="0"/>
        <v>0</v>
      </c>
    </row>
    <row r="26" spans="1:10" x14ac:dyDescent="0.3">
      <c r="A26">
        <v>25</v>
      </c>
      <c r="B26">
        <v>104</v>
      </c>
      <c r="C26" t="s">
        <v>102</v>
      </c>
      <c r="D26" t="s">
        <v>96</v>
      </c>
      <c r="E26" s="20">
        <v>46134</v>
      </c>
      <c r="F26">
        <v>1100</v>
      </c>
      <c r="G26">
        <v>1100</v>
      </c>
      <c r="H26">
        <v>0</v>
      </c>
      <c r="I26">
        <v>2</v>
      </c>
      <c r="J26">
        <f t="shared" si="0"/>
        <v>0</v>
      </c>
    </row>
    <row r="27" spans="1:10" x14ac:dyDescent="0.3">
      <c r="A27">
        <v>26</v>
      </c>
      <c r="B27">
        <v>104</v>
      </c>
      <c r="C27" t="s">
        <v>102</v>
      </c>
      <c r="D27" t="s">
        <v>95</v>
      </c>
      <c r="E27" s="20">
        <v>46162</v>
      </c>
      <c r="F27">
        <v>1800</v>
      </c>
      <c r="G27">
        <v>2070</v>
      </c>
      <c r="H27">
        <v>9</v>
      </c>
      <c r="I27">
        <v>3</v>
      </c>
      <c r="J27">
        <f t="shared" si="0"/>
        <v>270</v>
      </c>
    </row>
    <row r="28" spans="1:10" x14ac:dyDescent="0.3">
      <c r="A28">
        <v>27</v>
      </c>
      <c r="B28">
        <v>104</v>
      </c>
      <c r="C28" t="s">
        <v>102</v>
      </c>
      <c r="D28" t="s">
        <v>96</v>
      </c>
      <c r="E28" s="20">
        <v>46164</v>
      </c>
      <c r="F28">
        <v>1100</v>
      </c>
      <c r="G28">
        <v>1265</v>
      </c>
      <c r="H28">
        <v>8</v>
      </c>
      <c r="I28">
        <v>3</v>
      </c>
      <c r="J28">
        <f t="shared" si="0"/>
        <v>165</v>
      </c>
    </row>
    <row r="29" spans="1:10" x14ac:dyDescent="0.3">
      <c r="A29">
        <v>28</v>
      </c>
      <c r="B29">
        <v>105</v>
      </c>
      <c r="C29" t="s">
        <v>103</v>
      </c>
      <c r="D29" t="s">
        <v>92</v>
      </c>
      <c r="E29" s="20">
        <v>46092</v>
      </c>
      <c r="F29">
        <v>900</v>
      </c>
      <c r="G29">
        <v>900</v>
      </c>
      <c r="H29">
        <v>0</v>
      </c>
      <c r="I29">
        <v>1</v>
      </c>
      <c r="J29">
        <f t="shared" si="0"/>
        <v>0</v>
      </c>
    </row>
    <row r="30" spans="1:10" x14ac:dyDescent="0.3">
      <c r="A30">
        <v>29</v>
      </c>
      <c r="B30">
        <v>105</v>
      </c>
      <c r="C30" t="s">
        <v>103</v>
      </c>
      <c r="D30" t="s">
        <v>94</v>
      </c>
      <c r="E30" s="20">
        <v>46094</v>
      </c>
      <c r="F30">
        <v>700</v>
      </c>
      <c r="G30">
        <v>700</v>
      </c>
      <c r="H30">
        <v>0</v>
      </c>
      <c r="I30">
        <v>1</v>
      </c>
      <c r="J30">
        <f t="shared" si="0"/>
        <v>0</v>
      </c>
    </row>
    <row r="31" spans="1:10" x14ac:dyDescent="0.3">
      <c r="A31">
        <v>30</v>
      </c>
      <c r="B31">
        <v>105</v>
      </c>
      <c r="C31" t="s">
        <v>103</v>
      </c>
      <c r="D31" t="s">
        <v>92</v>
      </c>
      <c r="E31" s="20">
        <v>46123</v>
      </c>
      <c r="F31">
        <v>900</v>
      </c>
      <c r="G31">
        <v>900</v>
      </c>
      <c r="H31">
        <v>0</v>
      </c>
      <c r="I31">
        <v>2</v>
      </c>
      <c r="J31">
        <f t="shared" si="0"/>
        <v>0</v>
      </c>
    </row>
    <row r="32" spans="1:10" x14ac:dyDescent="0.3">
      <c r="A32">
        <v>31</v>
      </c>
      <c r="B32">
        <v>105</v>
      </c>
      <c r="C32" t="s">
        <v>103</v>
      </c>
      <c r="D32" t="s">
        <v>94</v>
      </c>
      <c r="E32" s="20">
        <v>46125</v>
      </c>
      <c r="F32">
        <v>700</v>
      </c>
      <c r="G32">
        <v>700</v>
      </c>
      <c r="H32">
        <v>0</v>
      </c>
      <c r="I32">
        <v>2</v>
      </c>
      <c r="J32">
        <f t="shared" si="0"/>
        <v>0</v>
      </c>
    </row>
    <row r="33" spans="1:10" x14ac:dyDescent="0.3">
      <c r="A33">
        <v>32</v>
      </c>
      <c r="B33">
        <v>105</v>
      </c>
      <c r="C33" t="s">
        <v>103</v>
      </c>
      <c r="D33" t="s">
        <v>92</v>
      </c>
      <c r="E33" s="20">
        <v>46153</v>
      </c>
      <c r="F33">
        <v>900</v>
      </c>
      <c r="G33">
        <v>900</v>
      </c>
      <c r="H33">
        <v>0</v>
      </c>
      <c r="I33">
        <v>3</v>
      </c>
      <c r="J33">
        <f t="shared" si="0"/>
        <v>0</v>
      </c>
    </row>
    <row r="34" spans="1:10" x14ac:dyDescent="0.3">
      <c r="A34">
        <v>33</v>
      </c>
      <c r="B34">
        <v>105</v>
      </c>
      <c r="C34" t="s">
        <v>103</v>
      </c>
      <c r="D34" t="s">
        <v>94</v>
      </c>
      <c r="E34" s="20">
        <v>46155</v>
      </c>
      <c r="F34">
        <v>700</v>
      </c>
      <c r="G34">
        <v>700</v>
      </c>
      <c r="H34">
        <v>0</v>
      </c>
      <c r="I34">
        <v>3</v>
      </c>
      <c r="J34">
        <f t="shared" ref="J34:J65" si="1">G34-F34</f>
        <v>0</v>
      </c>
    </row>
    <row r="35" spans="1:10" x14ac:dyDescent="0.3">
      <c r="A35">
        <v>34</v>
      </c>
      <c r="B35">
        <v>106</v>
      </c>
      <c r="C35" t="s">
        <v>104</v>
      </c>
      <c r="D35" t="s">
        <v>95</v>
      </c>
      <c r="E35" s="20">
        <v>46088</v>
      </c>
      <c r="F35">
        <v>1300</v>
      </c>
      <c r="G35">
        <v>1300</v>
      </c>
      <c r="H35">
        <v>0</v>
      </c>
      <c r="I35">
        <v>1</v>
      </c>
      <c r="J35">
        <f t="shared" si="1"/>
        <v>0</v>
      </c>
    </row>
    <row r="36" spans="1:10" x14ac:dyDescent="0.3">
      <c r="A36">
        <v>35</v>
      </c>
      <c r="B36">
        <v>106</v>
      </c>
      <c r="C36" t="s">
        <v>104</v>
      </c>
      <c r="D36" t="s">
        <v>93</v>
      </c>
      <c r="E36" s="20">
        <v>46090</v>
      </c>
      <c r="F36">
        <v>500</v>
      </c>
      <c r="G36">
        <v>500</v>
      </c>
      <c r="H36">
        <v>0</v>
      </c>
      <c r="I36">
        <v>1</v>
      </c>
      <c r="J36">
        <f t="shared" si="1"/>
        <v>0</v>
      </c>
    </row>
    <row r="37" spans="1:10" x14ac:dyDescent="0.3">
      <c r="A37">
        <v>36</v>
      </c>
      <c r="B37">
        <v>106</v>
      </c>
      <c r="C37" t="s">
        <v>104</v>
      </c>
      <c r="D37" t="s">
        <v>95</v>
      </c>
      <c r="E37" s="20">
        <v>46119</v>
      </c>
      <c r="F37">
        <v>1300</v>
      </c>
      <c r="G37">
        <v>1300</v>
      </c>
      <c r="H37">
        <v>0</v>
      </c>
      <c r="I37">
        <v>2</v>
      </c>
      <c r="J37">
        <f t="shared" si="1"/>
        <v>0</v>
      </c>
    </row>
    <row r="38" spans="1:10" x14ac:dyDescent="0.3">
      <c r="A38">
        <v>37</v>
      </c>
      <c r="B38">
        <v>106</v>
      </c>
      <c r="C38" t="s">
        <v>104</v>
      </c>
      <c r="D38" t="s">
        <v>93</v>
      </c>
      <c r="E38" s="20">
        <v>46121</v>
      </c>
      <c r="F38">
        <v>500</v>
      </c>
      <c r="G38">
        <v>500</v>
      </c>
      <c r="H38">
        <v>0</v>
      </c>
      <c r="I38">
        <v>2</v>
      </c>
      <c r="J38">
        <f t="shared" si="1"/>
        <v>0</v>
      </c>
    </row>
    <row r="39" spans="1:10" x14ac:dyDescent="0.3">
      <c r="A39">
        <v>38</v>
      </c>
      <c r="B39">
        <v>106</v>
      </c>
      <c r="C39" t="s">
        <v>104</v>
      </c>
      <c r="D39" t="s">
        <v>95</v>
      </c>
      <c r="E39" s="20">
        <v>46149</v>
      </c>
      <c r="F39">
        <v>1300</v>
      </c>
      <c r="G39">
        <v>1300</v>
      </c>
      <c r="H39">
        <v>0</v>
      </c>
      <c r="I39">
        <v>3</v>
      </c>
      <c r="J39">
        <f t="shared" si="1"/>
        <v>0</v>
      </c>
    </row>
    <row r="40" spans="1:10" x14ac:dyDescent="0.3">
      <c r="A40">
        <v>39</v>
      </c>
      <c r="B40">
        <v>106</v>
      </c>
      <c r="C40" t="s">
        <v>104</v>
      </c>
      <c r="D40" t="s">
        <v>93</v>
      </c>
      <c r="E40" s="20">
        <v>46151</v>
      </c>
      <c r="F40">
        <v>500</v>
      </c>
      <c r="G40">
        <v>500</v>
      </c>
      <c r="H40">
        <v>0</v>
      </c>
      <c r="I40">
        <v>3</v>
      </c>
      <c r="J40">
        <f t="shared" si="1"/>
        <v>0</v>
      </c>
    </row>
    <row r="41" spans="1:10" x14ac:dyDescent="0.3">
      <c r="A41">
        <v>40</v>
      </c>
      <c r="B41">
        <v>107</v>
      </c>
      <c r="C41" t="s">
        <v>105</v>
      </c>
      <c r="D41" t="s">
        <v>92</v>
      </c>
      <c r="E41" s="20">
        <v>46097</v>
      </c>
      <c r="F41">
        <v>2500</v>
      </c>
      <c r="G41">
        <v>2500</v>
      </c>
      <c r="H41">
        <v>0</v>
      </c>
      <c r="I41">
        <v>1</v>
      </c>
      <c r="J41">
        <f t="shared" si="1"/>
        <v>0</v>
      </c>
    </row>
    <row r="42" spans="1:10" x14ac:dyDescent="0.3">
      <c r="A42">
        <v>41</v>
      </c>
      <c r="B42">
        <v>107</v>
      </c>
      <c r="C42" t="s">
        <v>105</v>
      </c>
      <c r="D42" t="s">
        <v>95</v>
      </c>
      <c r="E42" s="20">
        <v>46098</v>
      </c>
      <c r="F42">
        <v>1800</v>
      </c>
      <c r="G42">
        <v>1800</v>
      </c>
      <c r="H42">
        <v>0</v>
      </c>
      <c r="I42">
        <v>1</v>
      </c>
      <c r="J42">
        <f t="shared" si="1"/>
        <v>0</v>
      </c>
    </row>
    <row r="43" spans="1:10" x14ac:dyDescent="0.3">
      <c r="A43">
        <v>42</v>
      </c>
      <c r="B43">
        <v>107</v>
      </c>
      <c r="C43" t="s">
        <v>105</v>
      </c>
      <c r="D43" t="s">
        <v>96</v>
      </c>
      <c r="E43" s="20">
        <v>46100</v>
      </c>
      <c r="F43">
        <v>1200</v>
      </c>
      <c r="G43">
        <v>1200</v>
      </c>
      <c r="H43">
        <v>0</v>
      </c>
      <c r="I43">
        <v>1</v>
      </c>
      <c r="J43">
        <f t="shared" si="1"/>
        <v>0</v>
      </c>
    </row>
    <row r="44" spans="1:10" x14ac:dyDescent="0.3">
      <c r="A44">
        <v>43</v>
      </c>
      <c r="B44">
        <v>107</v>
      </c>
      <c r="C44" t="s">
        <v>105</v>
      </c>
      <c r="D44" t="s">
        <v>92</v>
      </c>
      <c r="E44" s="20">
        <v>46128</v>
      </c>
      <c r="F44">
        <v>2500</v>
      </c>
      <c r="G44">
        <v>2500</v>
      </c>
      <c r="H44">
        <v>0</v>
      </c>
      <c r="I44">
        <v>2</v>
      </c>
      <c r="J44">
        <f t="shared" si="1"/>
        <v>0</v>
      </c>
    </row>
    <row r="45" spans="1:10" x14ac:dyDescent="0.3">
      <c r="A45">
        <v>44</v>
      </c>
      <c r="B45">
        <v>107</v>
      </c>
      <c r="C45" t="s">
        <v>105</v>
      </c>
      <c r="D45" t="s">
        <v>95</v>
      </c>
      <c r="E45" s="20">
        <v>46129</v>
      </c>
      <c r="F45">
        <v>1800</v>
      </c>
      <c r="G45">
        <v>1800</v>
      </c>
      <c r="H45">
        <v>0</v>
      </c>
      <c r="I45">
        <v>2</v>
      </c>
      <c r="J45">
        <f t="shared" si="1"/>
        <v>0</v>
      </c>
    </row>
    <row r="46" spans="1:10" x14ac:dyDescent="0.3">
      <c r="A46">
        <v>45</v>
      </c>
      <c r="B46">
        <v>107</v>
      </c>
      <c r="C46" t="s">
        <v>105</v>
      </c>
      <c r="D46" t="s">
        <v>96</v>
      </c>
      <c r="E46" s="20">
        <v>46131</v>
      </c>
      <c r="F46">
        <v>1200</v>
      </c>
      <c r="G46">
        <v>1200</v>
      </c>
      <c r="H46">
        <v>0</v>
      </c>
      <c r="I46">
        <v>2</v>
      </c>
      <c r="J46">
        <f t="shared" si="1"/>
        <v>0</v>
      </c>
    </row>
    <row r="47" spans="1:10" x14ac:dyDescent="0.3">
      <c r="A47">
        <v>46</v>
      </c>
      <c r="B47">
        <v>107</v>
      </c>
      <c r="C47" t="s">
        <v>105</v>
      </c>
      <c r="D47" t="s">
        <v>92</v>
      </c>
      <c r="E47" s="20">
        <v>46158</v>
      </c>
      <c r="F47">
        <v>2500</v>
      </c>
      <c r="G47">
        <v>2500</v>
      </c>
      <c r="H47">
        <v>0</v>
      </c>
      <c r="I47">
        <v>3</v>
      </c>
      <c r="J47">
        <f t="shared" si="1"/>
        <v>0</v>
      </c>
    </row>
    <row r="48" spans="1:10" x14ac:dyDescent="0.3">
      <c r="A48">
        <v>47</v>
      </c>
      <c r="B48">
        <v>107</v>
      </c>
      <c r="C48" t="s">
        <v>105</v>
      </c>
      <c r="D48" t="s">
        <v>95</v>
      </c>
      <c r="E48" s="20">
        <v>46159</v>
      </c>
      <c r="F48">
        <v>1800</v>
      </c>
      <c r="G48">
        <v>1800</v>
      </c>
      <c r="H48">
        <v>0</v>
      </c>
      <c r="I48">
        <v>3</v>
      </c>
      <c r="J48">
        <f t="shared" si="1"/>
        <v>0</v>
      </c>
    </row>
    <row r="49" spans="1:10" x14ac:dyDescent="0.3">
      <c r="A49">
        <v>48</v>
      </c>
      <c r="B49">
        <v>107</v>
      </c>
      <c r="C49" t="s">
        <v>105</v>
      </c>
      <c r="D49" t="s">
        <v>96</v>
      </c>
      <c r="E49" s="20">
        <v>46161</v>
      </c>
      <c r="F49">
        <v>1200</v>
      </c>
      <c r="G49">
        <v>1200</v>
      </c>
      <c r="H49">
        <v>0</v>
      </c>
      <c r="I49">
        <v>3</v>
      </c>
      <c r="J49">
        <f t="shared" si="1"/>
        <v>0</v>
      </c>
    </row>
    <row r="50" spans="1:10" x14ac:dyDescent="0.3">
      <c r="A50">
        <v>49</v>
      </c>
      <c r="B50">
        <v>108</v>
      </c>
      <c r="C50" t="s">
        <v>106</v>
      </c>
      <c r="D50" t="s">
        <v>95</v>
      </c>
      <c r="E50" s="20">
        <v>46085</v>
      </c>
      <c r="F50">
        <v>950</v>
      </c>
      <c r="G50">
        <v>950</v>
      </c>
      <c r="H50">
        <v>0</v>
      </c>
      <c r="I50">
        <v>1</v>
      </c>
      <c r="J50">
        <f t="shared" si="1"/>
        <v>0</v>
      </c>
    </row>
    <row r="51" spans="1:10" x14ac:dyDescent="0.3">
      <c r="A51">
        <v>50</v>
      </c>
      <c r="B51">
        <v>108</v>
      </c>
      <c r="C51" t="s">
        <v>106</v>
      </c>
      <c r="D51" t="s">
        <v>92</v>
      </c>
      <c r="E51" s="20">
        <v>46087</v>
      </c>
      <c r="F51">
        <v>650</v>
      </c>
      <c r="G51">
        <v>650</v>
      </c>
      <c r="H51">
        <v>0</v>
      </c>
      <c r="I51">
        <v>1</v>
      </c>
      <c r="J51">
        <f t="shared" si="1"/>
        <v>0</v>
      </c>
    </row>
    <row r="52" spans="1:10" x14ac:dyDescent="0.3">
      <c r="A52">
        <v>51</v>
      </c>
      <c r="B52">
        <v>108</v>
      </c>
      <c r="C52" t="s">
        <v>106</v>
      </c>
      <c r="D52" t="s">
        <v>95</v>
      </c>
      <c r="E52" s="20">
        <v>46116</v>
      </c>
      <c r="F52">
        <v>950</v>
      </c>
      <c r="G52">
        <v>950</v>
      </c>
      <c r="H52">
        <v>0</v>
      </c>
      <c r="I52">
        <v>2</v>
      </c>
      <c r="J52">
        <f t="shared" si="1"/>
        <v>0</v>
      </c>
    </row>
    <row r="53" spans="1:10" x14ac:dyDescent="0.3">
      <c r="A53">
        <v>52</v>
      </c>
      <c r="B53">
        <v>108</v>
      </c>
      <c r="C53" t="s">
        <v>106</v>
      </c>
      <c r="D53" t="s">
        <v>92</v>
      </c>
      <c r="E53" s="20">
        <v>46118</v>
      </c>
      <c r="F53">
        <v>650</v>
      </c>
      <c r="G53">
        <v>650</v>
      </c>
      <c r="H53">
        <v>0</v>
      </c>
      <c r="I53">
        <v>2</v>
      </c>
      <c r="J53">
        <f t="shared" si="1"/>
        <v>0</v>
      </c>
    </row>
    <row r="54" spans="1:10" x14ac:dyDescent="0.3">
      <c r="A54">
        <v>53</v>
      </c>
      <c r="B54">
        <v>108</v>
      </c>
      <c r="C54" t="s">
        <v>106</v>
      </c>
      <c r="D54" t="s">
        <v>95</v>
      </c>
      <c r="E54" s="20">
        <v>46146</v>
      </c>
      <c r="F54">
        <v>950</v>
      </c>
      <c r="G54">
        <v>950</v>
      </c>
      <c r="H54">
        <v>0</v>
      </c>
      <c r="I54">
        <v>3</v>
      </c>
      <c r="J54">
        <f t="shared" si="1"/>
        <v>0</v>
      </c>
    </row>
    <row r="55" spans="1:10" x14ac:dyDescent="0.3">
      <c r="A55">
        <v>54</v>
      </c>
      <c r="B55">
        <v>108</v>
      </c>
      <c r="C55" t="s">
        <v>106</v>
      </c>
      <c r="D55" t="s">
        <v>92</v>
      </c>
      <c r="E55" s="20">
        <v>46148</v>
      </c>
      <c r="F55">
        <v>650</v>
      </c>
      <c r="G55">
        <v>650</v>
      </c>
      <c r="H55">
        <v>0</v>
      </c>
      <c r="I55">
        <v>3</v>
      </c>
      <c r="J55">
        <f t="shared" si="1"/>
        <v>0</v>
      </c>
    </row>
    <row r="56" spans="1:10" x14ac:dyDescent="0.3">
      <c r="A56">
        <v>55</v>
      </c>
      <c r="B56">
        <v>109</v>
      </c>
      <c r="C56" t="s">
        <v>107</v>
      </c>
      <c r="D56" t="s">
        <v>95</v>
      </c>
      <c r="E56" s="20">
        <v>46102</v>
      </c>
      <c r="F56">
        <v>700</v>
      </c>
      <c r="G56">
        <v>700</v>
      </c>
      <c r="H56">
        <v>0</v>
      </c>
      <c r="I56">
        <v>1</v>
      </c>
      <c r="J56">
        <f t="shared" si="1"/>
        <v>0</v>
      </c>
    </row>
    <row r="57" spans="1:10" x14ac:dyDescent="0.3">
      <c r="A57">
        <v>56</v>
      </c>
      <c r="B57">
        <v>109</v>
      </c>
      <c r="C57" t="s">
        <v>107</v>
      </c>
      <c r="D57" t="s">
        <v>95</v>
      </c>
      <c r="E57" s="20">
        <v>46133</v>
      </c>
      <c r="F57">
        <v>700</v>
      </c>
      <c r="G57">
        <v>700</v>
      </c>
      <c r="H57">
        <v>0</v>
      </c>
      <c r="I57">
        <v>2</v>
      </c>
      <c r="J57">
        <f t="shared" si="1"/>
        <v>0</v>
      </c>
    </row>
    <row r="58" spans="1:10" x14ac:dyDescent="0.3">
      <c r="A58">
        <v>57</v>
      </c>
      <c r="B58">
        <v>109</v>
      </c>
      <c r="C58" t="s">
        <v>107</v>
      </c>
      <c r="D58" t="s">
        <v>95</v>
      </c>
      <c r="E58" s="20">
        <v>46163</v>
      </c>
      <c r="F58">
        <v>700</v>
      </c>
      <c r="G58">
        <v>700</v>
      </c>
      <c r="H58">
        <v>0</v>
      </c>
      <c r="I58">
        <v>3</v>
      </c>
      <c r="J58">
        <f t="shared" si="1"/>
        <v>0</v>
      </c>
    </row>
    <row r="59" spans="1:10" x14ac:dyDescent="0.3">
      <c r="A59">
        <v>58</v>
      </c>
      <c r="B59">
        <v>110</v>
      </c>
      <c r="C59" t="s">
        <v>108</v>
      </c>
      <c r="D59" t="s">
        <v>92</v>
      </c>
      <c r="E59" s="20">
        <v>46104</v>
      </c>
      <c r="F59">
        <v>500</v>
      </c>
      <c r="G59">
        <v>500</v>
      </c>
      <c r="H59">
        <v>0</v>
      </c>
      <c r="I59">
        <v>1</v>
      </c>
      <c r="J59">
        <f t="shared" si="1"/>
        <v>0</v>
      </c>
    </row>
    <row r="60" spans="1:10" x14ac:dyDescent="0.3">
      <c r="A60">
        <v>59</v>
      </c>
      <c r="B60">
        <v>110</v>
      </c>
      <c r="C60" t="s">
        <v>108</v>
      </c>
      <c r="D60" t="s">
        <v>92</v>
      </c>
      <c r="E60" s="20">
        <v>46135</v>
      </c>
      <c r="F60">
        <v>500</v>
      </c>
      <c r="G60">
        <v>500</v>
      </c>
      <c r="H60">
        <v>0</v>
      </c>
      <c r="I60">
        <v>2</v>
      </c>
      <c r="J60">
        <f t="shared" si="1"/>
        <v>0</v>
      </c>
    </row>
    <row r="61" spans="1:10" x14ac:dyDescent="0.3">
      <c r="A61">
        <v>60</v>
      </c>
      <c r="B61">
        <v>110</v>
      </c>
      <c r="C61" t="s">
        <v>108</v>
      </c>
      <c r="D61" t="s">
        <v>92</v>
      </c>
      <c r="E61" s="20">
        <v>46165</v>
      </c>
      <c r="F61">
        <v>500</v>
      </c>
      <c r="G61">
        <v>500</v>
      </c>
      <c r="H61">
        <v>0</v>
      </c>
      <c r="I61">
        <v>3</v>
      </c>
      <c r="J61">
        <f t="shared" si="1"/>
        <v>0</v>
      </c>
    </row>
    <row r="62" spans="1:10" x14ac:dyDescent="0.3">
      <c r="A62">
        <v>61</v>
      </c>
      <c r="B62">
        <v>111</v>
      </c>
      <c r="C62" t="s">
        <v>109</v>
      </c>
      <c r="D62" t="s">
        <v>93</v>
      </c>
      <c r="E62" s="20">
        <v>46083</v>
      </c>
      <c r="F62">
        <v>400</v>
      </c>
      <c r="G62">
        <v>400</v>
      </c>
      <c r="H62">
        <v>0</v>
      </c>
      <c r="I62">
        <v>1</v>
      </c>
      <c r="J62">
        <f t="shared" si="1"/>
        <v>0</v>
      </c>
    </row>
    <row r="63" spans="1:10" x14ac:dyDescent="0.3">
      <c r="A63">
        <v>62</v>
      </c>
      <c r="B63">
        <v>111</v>
      </c>
      <c r="C63" t="s">
        <v>109</v>
      </c>
      <c r="D63" t="s">
        <v>93</v>
      </c>
      <c r="E63" s="20">
        <v>46114</v>
      </c>
      <c r="F63">
        <v>400</v>
      </c>
      <c r="G63">
        <v>400</v>
      </c>
      <c r="H63">
        <v>0</v>
      </c>
      <c r="I63">
        <v>2</v>
      </c>
      <c r="J63">
        <f t="shared" si="1"/>
        <v>0</v>
      </c>
    </row>
    <row r="64" spans="1:10" x14ac:dyDescent="0.3">
      <c r="A64">
        <v>63</v>
      </c>
      <c r="B64">
        <v>111</v>
      </c>
      <c r="C64" t="s">
        <v>109</v>
      </c>
      <c r="D64" t="s">
        <v>93</v>
      </c>
      <c r="E64" s="20">
        <v>46144</v>
      </c>
      <c r="F64">
        <v>400</v>
      </c>
      <c r="G64">
        <v>400</v>
      </c>
      <c r="H64">
        <v>0</v>
      </c>
      <c r="I64">
        <v>3</v>
      </c>
      <c r="J64">
        <f t="shared" si="1"/>
        <v>0</v>
      </c>
    </row>
    <row r="65" spans="1:10" x14ac:dyDescent="0.3">
      <c r="A65">
        <v>64</v>
      </c>
      <c r="B65">
        <v>112</v>
      </c>
      <c r="C65" t="s">
        <v>110</v>
      </c>
      <c r="D65" t="s">
        <v>94</v>
      </c>
      <c r="E65" s="20">
        <v>46108</v>
      </c>
      <c r="F65">
        <v>350</v>
      </c>
      <c r="G65">
        <v>350</v>
      </c>
      <c r="H65">
        <v>0</v>
      </c>
      <c r="I65">
        <v>1</v>
      </c>
      <c r="J65">
        <f t="shared" si="1"/>
        <v>0</v>
      </c>
    </row>
    <row r="66" spans="1:10" x14ac:dyDescent="0.3">
      <c r="A66">
        <v>65</v>
      </c>
      <c r="B66">
        <v>112</v>
      </c>
      <c r="C66" t="s">
        <v>110</v>
      </c>
      <c r="D66" t="s">
        <v>94</v>
      </c>
      <c r="E66" s="20">
        <v>46139</v>
      </c>
      <c r="F66">
        <v>350</v>
      </c>
      <c r="G66">
        <v>350</v>
      </c>
      <c r="H66">
        <v>0</v>
      </c>
      <c r="I66">
        <v>2</v>
      </c>
      <c r="J66">
        <f t="shared" ref="J66:J91" si="2">G66-F66</f>
        <v>0</v>
      </c>
    </row>
    <row r="67" spans="1:10" x14ac:dyDescent="0.3">
      <c r="A67">
        <v>66</v>
      </c>
      <c r="B67">
        <v>112</v>
      </c>
      <c r="C67" t="s">
        <v>110</v>
      </c>
      <c r="D67" t="s">
        <v>94</v>
      </c>
      <c r="E67" s="20">
        <v>46169</v>
      </c>
      <c r="F67">
        <v>350</v>
      </c>
      <c r="G67">
        <v>350</v>
      </c>
      <c r="H67">
        <v>0</v>
      </c>
      <c r="I67">
        <v>3</v>
      </c>
      <c r="J67">
        <f t="shared" si="2"/>
        <v>0</v>
      </c>
    </row>
    <row r="68" spans="1:10" x14ac:dyDescent="0.3">
      <c r="A68">
        <v>67</v>
      </c>
      <c r="B68">
        <v>113</v>
      </c>
      <c r="C68" t="s">
        <v>111</v>
      </c>
      <c r="D68" t="s">
        <v>95</v>
      </c>
      <c r="E68" s="20">
        <v>46087</v>
      </c>
      <c r="F68">
        <v>800</v>
      </c>
      <c r="G68">
        <v>800</v>
      </c>
      <c r="H68">
        <v>0</v>
      </c>
      <c r="I68">
        <v>1</v>
      </c>
      <c r="J68">
        <f t="shared" si="2"/>
        <v>0</v>
      </c>
    </row>
    <row r="69" spans="1:10" x14ac:dyDescent="0.3">
      <c r="A69">
        <v>68</v>
      </c>
      <c r="B69">
        <v>113</v>
      </c>
      <c r="C69" t="s">
        <v>111</v>
      </c>
      <c r="D69" t="s">
        <v>92</v>
      </c>
      <c r="E69" s="20">
        <v>46089</v>
      </c>
      <c r="F69">
        <v>600</v>
      </c>
      <c r="G69">
        <v>600</v>
      </c>
      <c r="H69">
        <v>0</v>
      </c>
      <c r="I69">
        <v>1</v>
      </c>
      <c r="J69">
        <f t="shared" si="2"/>
        <v>0</v>
      </c>
    </row>
    <row r="70" spans="1:10" x14ac:dyDescent="0.3">
      <c r="A70">
        <v>69</v>
      </c>
      <c r="B70">
        <v>113</v>
      </c>
      <c r="C70" t="s">
        <v>111</v>
      </c>
      <c r="D70" t="s">
        <v>95</v>
      </c>
      <c r="E70" s="20">
        <v>46118</v>
      </c>
      <c r="F70">
        <v>800</v>
      </c>
      <c r="G70">
        <v>800</v>
      </c>
      <c r="H70">
        <v>0</v>
      </c>
      <c r="I70">
        <v>2</v>
      </c>
      <c r="J70">
        <f t="shared" si="2"/>
        <v>0</v>
      </c>
    </row>
    <row r="71" spans="1:10" x14ac:dyDescent="0.3">
      <c r="A71">
        <v>70</v>
      </c>
      <c r="B71">
        <v>113</v>
      </c>
      <c r="C71" t="s">
        <v>111</v>
      </c>
      <c r="D71" t="s">
        <v>92</v>
      </c>
      <c r="E71" s="20">
        <v>46120</v>
      </c>
      <c r="F71">
        <v>600</v>
      </c>
      <c r="G71">
        <v>600</v>
      </c>
      <c r="H71">
        <v>0</v>
      </c>
      <c r="I71">
        <v>2</v>
      </c>
      <c r="J71">
        <f t="shared" si="2"/>
        <v>0</v>
      </c>
    </row>
    <row r="72" spans="1:10" x14ac:dyDescent="0.3">
      <c r="A72">
        <v>71</v>
      </c>
      <c r="B72">
        <v>113</v>
      </c>
      <c r="C72" t="s">
        <v>111</v>
      </c>
      <c r="D72" t="s">
        <v>95</v>
      </c>
      <c r="E72" s="20">
        <v>46148</v>
      </c>
      <c r="F72">
        <v>800</v>
      </c>
      <c r="G72">
        <v>980</v>
      </c>
      <c r="H72">
        <v>14</v>
      </c>
      <c r="I72">
        <v>3</v>
      </c>
      <c r="J72">
        <f t="shared" si="2"/>
        <v>180</v>
      </c>
    </row>
    <row r="73" spans="1:10" x14ac:dyDescent="0.3">
      <c r="A73">
        <v>72</v>
      </c>
      <c r="B73">
        <v>113</v>
      </c>
      <c r="C73" t="s">
        <v>111</v>
      </c>
      <c r="D73" t="s">
        <v>92</v>
      </c>
      <c r="E73" s="20">
        <v>46150</v>
      </c>
      <c r="F73">
        <v>600</v>
      </c>
      <c r="G73">
        <v>735</v>
      </c>
      <c r="H73">
        <v>13</v>
      </c>
      <c r="I73">
        <v>3</v>
      </c>
      <c r="J73">
        <f t="shared" si="2"/>
        <v>135</v>
      </c>
    </row>
    <row r="74" spans="1:10" x14ac:dyDescent="0.3">
      <c r="A74">
        <v>73</v>
      </c>
      <c r="B74">
        <v>114</v>
      </c>
      <c r="C74" t="s">
        <v>112</v>
      </c>
      <c r="D74" t="s">
        <v>94</v>
      </c>
      <c r="E74" s="20">
        <v>46095</v>
      </c>
      <c r="F74">
        <v>600</v>
      </c>
      <c r="G74">
        <v>600</v>
      </c>
      <c r="H74">
        <v>0</v>
      </c>
      <c r="I74">
        <v>1</v>
      </c>
      <c r="J74">
        <f t="shared" si="2"/>
        <v>0</v>
      </c>
    </row>
    <row r="75" spans="1:10" x14ac:dyDescent="0.3">
      <c r="A75">
        <v>74</v>
      </c>
      <c r="B75">
        <v>114</v>
      </c>
      <c r="C75" t="s">
        <v>112</v>
      </c>
      <c r="D75" t="s">
        <v>93</v>
      </c>
      <c r="E75" s="20">
        <v>46097</v>
      </c>
      <c r="F75">
        <v>450</v>
      </c>
      <c r="G75">
        <v>450</v>
      </c>
      <c r="H75">
        <v>0</v>
      </c>
      <c r="I75">
        <v>1</v>
      </c>
      <c r="J75">
        <f t="shared" si="2"/>
        <v>0</v>
      </c>
    </row>
    <row r="76" spans="1:10" x14ac:dyDescent="0.3">
      <c r="A76">
        <v>75</v>
      </c>
      <c r="B76">
        <v>114</v>
      </c>
      <c r="C76" t="s">
        <v>112</v>
      </c>
      <c r="D76" t="s">
        <v>94</v>
      </c>
      <c r="E76" s="20">
        <v>46126</v>
      </c>
      <c r="F76">
        <v>600</v>
      </c>
      <c r="G76">
        <v>600</v>
      </c>
      <c r="H76">
        <v>0</v>
      </c>
      <c r="I76">
        <v>2</v>
      </c>
      <c r="J76">
        <f t="shared" si="2"/>
        <v>0</v>
      </c>
    </row>
    <row r="77" spans="1:10" x14ac:dyDescent="0.3">
      <c r="A77">
        <v>76</v>
      </c>
      <c r="B77">
        <v>114</v>
      </c>
      <c r="C77" t="s">
        <v>112</v>
      </c>
      <c r="D77" t="s">
        <v>93</v>
      </c>
      <c r="E77" s="20">
        <v>46128</v>
      </c>
      <c r="F77">
        <v>450</v>
      </c>
      <c r="G77">
        <v>450</v>
      </c>
      <c r="H77">
        <v>0</v>
      </c>
      <c r="I77">
        <v>2</v>
      </c>
      <c r="J77">
        <f t="shared" si="2"/>
        <v>0</v>
      </c>
    </row>
    <row r="78" spans="1:10" x14ac:dyDescent="0.3">
      <c r="A78">
        <v>77</v>
      </c>
      <c r="B78">
        <v>114</v>
      </c>
      <c r="C78" t="s">
        <v>112</v>
      </c>
      <c r="D78" t="s">
        <v>94</v>
      </c>
      <c r="E78" s="20">
        <v>46156</v>
      </c>
      <c r="F78">
        <v>600</v>
      </c>
      <c r="G78">
        <v>735</v>
      </c>
      <c r="H78">
        <v>11</v>
      </c>
      <c r="I78">
        <v>3</v>
      </c>
      <c r="J78">
        <f t="shared" si="2"/>
        <v>135</v>
      </c>
    </row>
    <row r="79" spans="1:10" x14ac:dyDescent="0.3">
      <c r="A79">
        <v>78</v>
      </c>
      <c r="B79">
        <v>114</v>
      </c>
      <c r="C79" t="s">
        <v>112</v>
      </c>
      <c r="D79" t="s">
        <v>93</v>
      </c>
      <c r="E79" s="20">
        <v>46158</v>
      </c>
      <c r="F79">
        <v>450</v>
      </c>
      <c r="G79">
        <v>550</v>
      </c>
      <c r="H79">
        <v>10</v>
      </c>
      <c r="I79">
        <v>3</v>
      </c>
      <c r="J79">
        <f t="shared" si="2"/>
        <v>100</v>
      </c>
    </row>
    <row r="80" spans="1:10" x14ac:dyDescent="0.3">
      <c r="A80">
        <v>79</v>
      </c>
      <c r="B80">
        <v>115</v>
      </c>
      <c r="C80" t="s">
        <v>113</v>
      </c>
      <c r="D80" t="s">
        <v>95</v>
      </c>
      <c r="E80" s="20">
        <v>46090</v>
      </c>
      <c r="F80">
        <v>700</v>
      </c>
      <c r="G80">
        <v>700</v>
      </c>
      <c r="H80">
        <v>0</v>
      </c>
      <c r="I80">
        <v>1</v>
      </c>
      <c r="J80">
        <f t="shared" si="2"/>
        <v>0</v>
      </c>
    </row>
    <row r="81" spans="1:10" x14ac:dyDescent="0.3">
      <c r="A81">
        <v>80</v>
      </c>
      <c r="B81">
        <v>115</v>
      </c>
      <c r="C81" t="s">
        <v>113</v>
      </c>
      <c r="D81" t="s">
        <v>96</v>
      </c>
      <c r="E81" s="20">
        <v>46092</v>
      </c>
      <c r="F81">
        <v>500</v>
      </c>
      <c r="G81">
        <v>500</v>
      </c>
      <c r="H81">
        <v>0</v>
      </c>
      <c r="I81">
        <v>1</v>
      </c>
      <c r="J81">
        <f t="shared" si="2"/>
        <v>0</v>
      </c>
    </row>
    <row r="82" spans="1:10" x14ac:dyDescent="0.3">
      <c r="A82">
        <v>81</v>
      </c>
      <c r="B82">
        <v>115</v>
      </c>
      <c r="C82" t="s">
        <v>113</v>
      </c>
      <c r="D82" t="s">
        <v>95</v>
      </c>
      <c r="E82" s="20">
        <v>46121</v>
      </c>
      <c r="F82">
        <v>700</v>
      </c>
      <c r="G82">
        <v>700</v>
      </c>
      <c r="H82">
        <v>0</v>
      </c>
      <c r="I82">
        <v>2</v>
      </c>
      <c r="J82">
        <f t="shared" si="2"/>
        <v>0</v>
      </c>
    </row>
    <row r="83" spans="1:10" x14ac:dyDescent="0.3">
      <c r="A83">
        <v>82</v>
      </c>
      <c r="B83">
        <v>115</v>
      </c>
      <c r="C83" t="s">
        <v>113</v>
      </c>
      <c r="D83" t="s">
        <v>96</v>
      </c>
      <c r="E83" s="20">
        <v>46123</v>
      </c>
      <c r="F83">
        <v>500</v>
      </c>
      <c r="G83">
        <v>500</v>
      </c>
      <c r="H83">
        <v>0</v>
      </c>
      <c r="I83">
        <v>2</v>
      </c>
      <c r="J83">
        <f t="shared" si="2"/>
        <v>0</v>
      </c>
    </row>
    <row r="84" spans="1:10" x14ac:dyDescent="0.3">
      <c r="A84">
        <v>83</v>
      </c>
      <c r="B84">
        <v>115</v>
      </c>
      <c r="C84" t="s">
        <v>113</v>
      </c>
      <c r="D84" t="s">
        <v>95</v>
      </c>
      <c r="E84" s="20">
        <v>46151</v>
      </c>
      <c r="F84">
        <v>700</v>
      </c>
      <c r="G84">
        <v>875</v>
      </c>
      <c r="H84">
        <v>15</v>
      </c>
      <c r="I84">
        <v>3</v>
      </c>
      <c r="J84">
        <f t="shared" si="2"/>
        <v>175</v>
      </c>
    </row>
    <row r="85" spans="1:10" x14ac:dyDescent="0.3">
      <c r="A85">
        <v>84</v>
      </c>
      <c r="B85">
        <v>115</v>
      </c>
      <c r="C85" t="s">
        <v>113</v>
      </c>
      <c r="D85" t="s">
        <v>96</v>
      </c>
      <c r="E85" s="20">
        <v>46153</v>
      </c>
      <c r="F85">
        <v>500</v>
      </c>
      <c r="G85">
        <v>615</v>
      </c>
      <c r="H85">
        <v>14</v>
      </c>
      <c r="I85">
        <v>3</v>
      </c>
      <c r="J85">
        <f t="shared" si="2"/>
        <v>115</v>
      </c>
    </row>
    <row r="86" spans="1:10" x14ac:dyDescent="0.3">
      <c r="A86">
        <v>85</v>
      </c>
      <c r="B86">
        <v>116</v>
      </c>
      <c r="C86" t="s">
        <v>114</v>
      </c>
      <c r="D86" t="s">
        <v>92</v>
      </c>
      <c r="E86" s="20">
        <v>46094</v>
      </c>
      <c r="F86">
        <v>550</v>
      </c>
      <c r="G86">
        <v>550</v>
      </c>
      <c r="H86">
        <v>0</v>
      </c>
      <c r="I86">
        <v>1</v>
      </c>
      <c r="J86">
        <f t="shared" si="2"/>
        <v>0</v>
      </c>
    </row>
    <row r="87" spans="1:10" x14ac:dyDescent="0.3">
      <c r="A87">
        <v>86</v>
      </c>
      <c r="B87">
        <v>116</v>
      </c>
      <c r="C87" t="s">
        <v>114</v>
      </c>
      <c r="D87" t="s">
        <v>93</v>
      </c>
      <c r="E87" s="20">
        <v>46096</v>
      </c>
      <c r="F87">
        <v>400</v>
      </c>
      <c r="G87">
        <v>400</v>
      </c>
      <c r="H87">
        <v>0</v>
      </c>
      <c r="I87">
        <v>1</v>
      </c>
      <c r="J87">
        <f t="shared" si="2"/>
        <v>0</v>
      </c>
    </row>
    <row r="88" spans="1:10" x14ac:dyDescent="0.3">
      <c r="A88">
        <v>87</v>
      </c>
      <c r="B88">
        <v>116</v>
      </c>
      <c r="C88" t="s">
        <v>114</v>
      </c>
      <c r="D88" t="s">
        <v>92</v>
      </c>
      <c r="E88" s="20">
        <v>46125</v>
      </c>
      <c r="F88">
        <v>550</v>
      </c>
      <c r="G88">
        <v>550</v>
      </c>
      <c r="H88">
        <v>0</v>
      </c>
      <c r="I88">
        <v>2</v>
      </c>
      <c r="J88">
        <f t="shared" si="2"/>
        <v>0</v>
      </c>
    </row>
    <row r="89" spans="1:10" x14ac:dyDescent="0.3">
      <c r="A89">
        <v>88</v>
      </c>
      <c r="B89">
        <v>116</v>
      </c>
      <c r="C89" t="s">
        <v>114</v>
      </c>
      <c r="D89" t="s">
        <v>93</v>
      </c>
      <c r="E89" s="20">
        <v>46127</v>
      </c>
      <c r="F89">
        <v>400</v>
      </c>
      <c r="G89">
        <v>400</v>
      </c>
      <c r="H89">
        <v>0</v>
      </c>
      <c r="I89">
        <v>2</v>
      </c>
      <c r="J89">
        <f t="shared" si="2"/>
        <v>0</v>
      </c>
    </row>
    <row r="90" spans="1:10" x14ac:dyDescent="0.3">
      <c r="A90">
        <v>89</v>
      </c>
      <c r="B90">
        <v>116</v>
      </c>
      <c r="C90" t="s">
        <v>114</v>
      </c>
      <c r="D90" t="s">
        <v>92</v>
      </c>
      <c r="E90" s="20">
        <v>46155</v>
      </c>
      <c r="F90">
        <v>550</v>
      </c>
      <c r="G90">
        <v>690</v>
      </c>
      <c r="H90">
        <v>9</v>
      </c>
      <c r="I90">
        <v>3</v>
      </c>
      <c r="J90">
        <f t="shared" si="2"/>
        <v>140</v>
      </c>
    </row>
    <row r="91" spans="1:10" x14ac:dyDescent="0.3">
      <c r="A91">
        <v>90</v>
      </c>
      <c r="B91">
        <v>116</v>
      </c>
      <c r="C91" t="s">
        <v>114</v>
      </c>
      <c r="D91" t="s">
        <v>93</v>
      </c>
      <c r="E91" s="20">
        <v>46157</v>
      </c>
      <c r="F91">
        <v>400</v>
      </c>
      <c r="G91">
        <v>495</v>
      </c>
      <c r="H91">
        <v>8</v>
      </c>
      <c r="I91">
        <v>3</v>
      </c>
      <c r="J91">
        <f t="shared" si="2"/>
        <v>95</v>
      </c>
    </row>
  </sheetData>
  <pageMargins left="0.75" right="0.75" top="1" bottom="1" header="0.511811023622047" footer="0.511811023622047"/>
  <pageSetup fitToHeight="0" orientation="landscape"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21"/>
  <sheetViews>
    <sheetView topLeftCell="A2" zoomScaleNormal="100" workbookViewId="0">
      <selection activeCell="C5" sqref="C5"/>
    </sheetView>
  </sheetViews>
  <sheetFormatPr defaultColWidth="8.6640625" defaultRowHeight="14.4" x14ac:dyDescent="0.3"/>
  <cols>
    <col min="1" max="1" width="11" customWidth="1"/>
    <col min="2" max="2" width="20" customWidth="1"/>
    <col min="3" max="3" width="14" customWidth="1"/>
    <col min="4" max="4" width="11" customWidth="1"/>
    <col min="5" max="5" width="9" customWidth="1"/>
    <col min="6" max="6" width="17" customWidth="1"/>
    <col min="7" max="7" width="18" customWidth="1"/>
  </cols>
  <sheetData>
    <row r="1" spans="1:7" x14ac:dyDescent="0.3">
      <c r="A1" s="8" t="s">
        <v>42</v>
      </c>
      <c r="B1" s="8" t="s">
        <v>66</v>
      </c>
      <c r="C1" s="8" t="s">
        <v>68</v>
      </c>
      <c r="D1" s="8" t="s">
        <v>70</v>
      </c>
      <c r="E1" s="8" t="s">
        <v>72</v>
      </c>
      <c r="F1" s="8" t="s">
        <v>75</v>
      </c>
      <c r="G1" s="8" t="s">
        <v>77</v>
      </c>
    </row>
    <row r="2" spans="1:7" x14ac:dyDescent="0.3">
      <c r="A2">
        <v>101</v>
      </c>
      <c r="B2" t="s">
        <v>99</v>
      </c>
      <c r="C2">
        <v>45000</v>
      </c>
      <c r="D2">
        <v>715</v>
      </c>
      <c r="E2">
        <v>0.32500000000000001</v>
      </c>
      <c r="F2" t="s">
        <v>120</v>
      </c>
      <c r="G2" t="s">
        <v>118</v>
      </c>
    </row>
    <row r="3" spans="1:7" x14ac:dyDescent="0.3">
      <c r="A3">
        <v>102</v>
      </c>
      <c r="B3" t="s">
        <v>100</v>
      </c>
      <c r="C3">
        <v>38000</v>
      </c>
      <c r="D3">
        <v>680</v>
      </c>
      <c r="E3">
        <v>0.41</v>
      </c>
      <c r="F3" t="s">
        <v>120</v>
      </c>
      <c r="G3" t="s">
        <v>118</v>
      </c>
    </row>
    <row r="4" spans="1:7" x14ac:dyDescent="0.3">
      <c r="A4">
        <v>103</v>
      </c>
      <c r="B4" t="s">
        <v>101</v>
      </c>
      <c r="C4">
        <v>32000</v>
      </c>
      <c r="D4">
        <v>702</v>
      </c>
      <c r="E4">
        <v>0.38200000000000001</v>
      </c>
      <c r="F4" t="s">
        <v>120</v>
      </c>
      <c r="G4" t="s">
        <v>118</v>
      </c>
    </row>
    <row r="5" spans="1:7" x14ac:dyDescent="0.3">
      <c r="A5">
        <v>104</v>
      </c>
      <c r="B5" t="s">
        <v>102</v>
      </c>
      <c r="C5">
        <v>52000</v>
      </c>
      <c r="D5">
        <v>690</v>
      </c>
      <c r="E5">
        <v>0.44800000000000001</v>
      </c>
      <c r="F5" t="s">
        <v>120</v>
      </c>
      <c r="G5" t="s">
        <v>118</v>
      </c>
    </row>
    <row r="6" spans="1:7" x14ac:dyDescent="0.3">
      <c r="A6">
        <v>105</v>
      </c>
      <c r="B6" t="s">
        <v>103</v>
      </c>
      <c r="C6">
        <v>60000</v>
      </c>
      <c r="F6" t="s">
        <v>121</v>
      </c>
      <c r="G6" t="s">
        <v>119</v>
      </c>
    </row>
    <row r="7" spans="1:7" x14ac:dyDescent="0.3">
      <c r="A7">
        <v>106</v>
      </c>
      <c r="B7" t="s">
        <v>104</v>
      </c>
      <c r="C7">
        <v>41000</v>
      </c>
      <c r="F7" t="s">
        <v>121</v>
      </c>
      <c r="G7" t="s">
        <v>119</v>
      </c>
    </row>
    <row r="8" spans="1:7" x14ac:dyDescent="0.3">
      <c r="A8">
        <v>107</v>
      </c>
      <c r="B8" t="s">
        <v>105</v>
      </c>
      <c r="C8">
        <v>75000</v>
      </c>
      <c r="F8" t="s">
        <v>121</v>
      </c>
      <c r="G8" t="s">
        <v>119</v>
      </c>
    </row>
    <row r="9" spans="1:7" x14ac:dyDescent="0.3">
      <c r="A9">
        <v>108</v>
      </c>
      <c r="B9" t="s">
        <v>106</v>
      </c>
      <c r="C9">
        <v>33000</v>
      </c>
      <c r="F9" t="s">
        <v>121</v>
      </c>
      <c r="G9" t="s">
        <v>119</v>
      </c>
    </row>
    <row r="10" spans="1:7" x14ac:dyDescent="0.3">
      <c r="A10">
        <v>109</v>
      </c>
      <c r="B10" t="s">
        <v>107</v>
      </c>
      <c r="C10">
        <v>29000</v>
      </c>
      <c r="F10" t="s">
        <v>121</v>
      </c>
      <c r="G10" t="s">
        <v>117</v>
      </c>
    </row>
    <row r="11" spans="1:7" x14ac:dyDescent="0.3">
      <c r="A11">
        <v>110</v>
      </c>
      <c r="B11" t="s">
        <v>108</v>
      </c>
      <c r="C11">
        <v>47000</v>
      </c>
      <c r="F11" t="s">
        <v>121</v>
      </c>
      <c r="G11" t="s">
        <v>117</v>
      </c>
    </row>
    <row r="12" spans="1:7" x14ac:dyDescent="0.3">
      <c r="A12">
        <v>111</v>
      </c>
      <c r="B12" t="s">
        <v>109</v>
      </c>
      <c r="C12">
        <v>36000</v>
      </c>
      <c r="F12" t="s">
        <v>121</v>
      </c>
      <c r="G12" t="s">
        <v>117</v>
      </c>
    </row>
    <row r="13" spans="1:7" x14ac:dyDescent="0.3">
      <c r="A13">
        <v>112</v>
      </c>
      <c r="B13" t="s">
        <v>110</v>
      </c>
      <c r="C13">
        <v>27000</v>
      </c>
      <c r="F13" t="s">
        <v>121</v>
      </c>
      <c r="G13" t="s">
        <v>117</v>
      </c>
    </row>
    <row r="14" spans="1:7" x14ac:dyDescent="0.3">
      <c r="A14">
        <v>113</v>
      </c>
      <c r="B14" t="s">
        <v>111</v>
      </c>
      <c r="C14">
        <v>18000</v>
      </c>
      <c r="D14">
        <v>560</v>
      </c>
      <c r="E14">
        <v>0.61</v>
      </c>
      <c r="F14" t="s">
        <v>122</v>
      </c>
      <c r="G14" t="s">
        <v>118</v>
      </c>
    </row>
    <row r="15" spans="1:7" x14ac:dyDescent="0.3">
      <c r="A15">
        <v>114</v>
      </c>
      <c r="B15" t="s">
        <v>112</v>
      </c>
      <c r="C15">
        <v>21000</v>
      </c>
      <c r="D15">
        <v>545</v>
      </c>
      <c r="E15">
        <v>0.57999999999999996</v>
      </c>
      <c r="F15" t="s">
        <v>122</v>
      </c>
      <c r="G15" t="s">
        <v>118</v>
      </c>
    </row>
    <row r="16" spans="1:7" x14ac:dyDescent="0.3">
      <c r="A16">
        <v>115</v>
      </c>
      <c r="B16" t="s">
        <v>113</v>
      </c>
      <c r="C16">
        <v>19500</v>
      </c>
      <c r="D16">
        <v>572</v>
      </c>
      <c r="E16">
        <v>0.55500000000000005</v>
      </c>
      <c r="F16" t="s">
        <v>122</v>
      </c>
      <c r="G16" t="s">
        <v>118</v>
      </c>
    </row>
    <row r="17" spans="1:7" x14ac:dyDescent="0.3">
      <c r="A17">
        <v>116</v>
      </c>
      <c r="B17" t="s">
        <v>114</v>
      </c>
      <c r="C17">
        <v>22000</v>
      </c>
      <c r="D17">
        <v>530</v>
      </c>
      <c r="E17">
        <v>0.63</v>
      </c>
      <c r="F17" t="s">
        <v>122</v>
      </c>
      <c r="G17" t="s">
        <v>118</v>
      </c>
    </row>
    <row r="18" spans="1:7" x14ac:dyDescent="0.3">
      <c r="A18">
        <v>117</v>
      </c>
      <c r="B18" t="s">
        <v>123</v>
      </c>
      <c r="C18">
        <v>55000</v>
      </c>
      <c r="F18" t="s">
        <v>121</v>
      </c>
      <c r="G18" t="s">
        <v>116</v>
      </c>
    </row>
    <row r="19" spans="1:7" x14ac:dyDescent="0.3">
      <c r="A19">
        <v>118</v>
      </c>
      <c r="B19" t="s">
        <v>124</v>
      </c>
      <c r="C19">
        <v>48000</v>
      </c>
      <c r="F19" t="s">
        <v>121</v>
      </c>
      <c r="G19" t="s">
        <v>116</v>
      </c>
    </row>
    <row r="20" spans="1:7" x14ac:dyDescent="0.3">
      <c r="A20">
        <v>119</v>
      </c>
      <c r="B20" t="s">
        <v>125</v>
      </c>
      <c r="C20">
        <v>62000</v>
      </c>
      <c r="F20" t="s">
        <v>121</v>
      </c>
      <c r="G20" t="s">
        <v>116</v>
      </c>
    </row>
    <row r="21" spans="1:7" x14ac:dyDescent="0.3">
      <c r="A21">
        <v>120</v>
      </c>
      <c r="B21" t="s">
        <v>126</v>
      </c>
      <c r="C21">
        <v>44000</v>
      </c>
      <c r="F21" t="s">
        <v>121</v>
      </c>
      <c r="G21" t="s">
        <v>116</v>
      </c>
    </row>
  </sheetData>
  <pageMargins left="0.75" right="0.75" top="1" bottom="1" header="0.511811023622047" footer="0.511811023622047"/>
  <pageSetup fitToHeight="0" orientation="landscape"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5"/>
  <sheetViews>
    <sheetView zoomScaleNormal="100" workbookViewId="0">
      <selection activeCell="C4" sqref="C4"/>
    </sheetView>
  </sheetViews>
  <sheetFormatPr defaultColWidth="8.6640625" defaultRowHeight="14.4" x14ac:dyDescent="0.3"/>
  <cols>
    <col min="1" max="1" width="11" customWidth="1"/>
    <col min="2" max="2" width="20" customWidth="1"/>
    <col min="3" max="4" width="12" customWidth="1"/>
    <col min="5" max="6" width="14" customWidth="1"/>
    <col min="7" max="7" width="10" customWidth="1"/>
  </cols>
  <sheetData>
    <row r="1" spans="1:7" x14ac:dyDescent="0.3">
      <c r="A1" s="8" t="s">
        <v>42</v>
      </c>
      <c r="B1" s="8" t="s">
        <v>66</v>
      </c>
      <c r="C1" s="8" t="s">
        <v>80</v>
      </c>
      <c r="D1" s="8" t="s">
        <v>82</v>
      </c>
      <c r="E1" s="8" t="s">
        <v>84</v>
      </c>
      <c r="F1" s="8" t="s">
        <v>86</v>
      </c>
      <c r="G1" s="8" t="s">
        <v>88</v>
      </c>
    </row>
    <row r="2" spans="1:7" x14ac:dyDescent="0.3">
      <c r="A2">
        <v>101</v>
      </c>
      <c r="B2" t="s">
        <v>99</v>
      </c>
      <c r="C2" s="20">
        <v>46165</v>
      </c>
      <c r="D2">
        <v>2000</v>
      </c>
      <c r="E2">
        <v>0.15</v>
      </c>
      <c r="F2">
        <v>180</v>
      </c>
      <c r="G2" t="s">
        <v>128</v>
      </c>
    </row>
    <row r="3" spans="1:7" x14ac:dyDescent="0.3">
      <c r="A3">
        <v>102</v>
      </c>
      <c r="B3" t="s">
        <v>100</v>
      </c>
      <c r="C3" s="20">
        <v>46169</v>
      </c>
      <c r="D3">
        <v>4400</v>
      </c>
      <c r="E3">
        <v>0.15</v>
      </c>
      <c r="F3">
        <v>385</v>
      </c>
      <c r="G3" t="s">
        <v>128</v>
      </c>
    </row>
    <row r="4" spans="1:7" x14ac:dyDescent="0.3">
      <c r="A4">
        <v>103</v>
      </c>
      <c r="B4" t="s">
        <v>101</v>
      </c>
      <c r="C4" s="20">
        <v>46162</v>
      </c>
      <c r="D4">
        <v>1730</v>
      </c>
      <c r="E4">
        <v>0.14000000000000001</v>
      </c>
      <c r="F4">
        <v>149</v>
      </c>
      <c r="G4" t="s">
        <v>129</v>
      </c>
    </row>
    <row r="5" spans="1:7" x14ac:dyDescent="0.3">
      <c r="A5">
        <v>104</v>
      </c>
      <c r="B5" t="s">
        <v>102</v>
      </c>
      <c r="C5" s="20">
        <v>46172</v>
      </c>
      <c r="D5">
        <v>3335</v>
      </c>
      <c r="E5">
        <v>0.15</v>
      </c>
      <c r="F5">
        <v>291</v>
      </c>
      <c r="G5" t="s">
        <v>128</v>
      </c>
    </row>
  </sheetData>
  <pageMargins left="0.75" right="0.75" top="1" bottom="1" header="0.511811023622047" footer="0.511811023622047"/>
  <pageSetup fitToHeight="0" orientation="landscape"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E28"/>
  <sheetViews>
    <sheetView zoomScaleNormal="100" workbookViewId="0">
      <selection activeCell="C15" sqref="C15"/>
    </sheetView>
  </sheetViews>
  <sheetFormatPr defaultColWidth="8.6640625" defaultRowHeight="14.4" x14ac:dyDescent="0.3"/>
  <cols>
    <col min="1" max="1" width="3" customWidth="1"/>
    <col min="2" max="2" width="46" customWidth="1"/>
    <col min="3" max="3" width="14" customWidth="1"/>
    <col min="4" max="4" width="16" customWidth="1"/>
    <col min="5" max="5" width="52" customWidth="1"/>
  </cols>
  <sheetData>
    <row r="2" spans="2:5" ht="23.25" customHeight="1" x14ac:dyDescent="0.45">
      <c r="B2" s="7" t="s">
        <v>130</v>
      </c>
    </row>
    <row r="3" spans="2:5" ht="43.5" customHeight="1" x14ac:dyDescent="0.3">
      <c r="B3" s="37" t="s">
        <v>131</v>
      </c>
      <c r="C3" s="37"/>
      <c r="D3" s="37"/>
      <c r="E3" s="37"/>
    </row>
    <row r="5" spans="2:5" ht="17.25" customHeight="1" x14ac:dyDescent="0.35">
      <c r="B5" s="40" t="s">
        <v>132</v>
      </c>
      <c r="C5" s="40"/>
      <c r="D5" s="40"/>
      <c r="E5" s="40"/>
    </row>
    <row r="6" spans="2:5" x14ac:dyDescent="0.3">
      <c r="B6" s="8" t="s">
        <v>133</v>
      </c>
      <c r="C6" s="8" t="s">
        <v>134</v>
      </c>
      <c r="D6" s="8" t="s">
        <v>135</v>
      </c>
      <c r="E6" s="8" t="s">
        <v>136</v>
      </c>
    </row>
    <row r="7" spans="2:5" ht="42" customHeight="1" x14ac:dyDescent="0.3">
      <c r="B7" s="6" t="s">
        <v>137</v>
      </c>
      <c r="C7" s="21">
        <f>COUNTBLANK(RawTransactions[CustomerID])</f>
        <v>0</v>
      </c>
      <c r="D7" s="6" t="s">
        <v>138</v>
      </c>
      <c r="E7" s="1" t="s">
        <v>139</v>
      </c>
    </row>
    <row r="8" spans="2:5" ht="42" customHeight="1" x14ac:dyDescent="0.3">
      <c r="B8" s="6" t="s">
        <v>140</v>
      </c>
      <c r="C8" s="21">
        <f>COUNTBLANK(RawTransactions[ExpectedAmount]) +  COUNTBLANK(RawTransactions[ActualPaidAmount])</f>
        <v>0</v>
      </c>
      <c r="D8" s="6" t="s">
        <v>138</v>
      </c>
      <c r="E8" s="1" t="s">
        <v>141</v>
      </c>
    </row>
    <row r="9" spans="2:5" ht="42" customHeight="1" x14ac:dyDescent="0.3">
      <c r="B9" s="6" t="s">
        <v>142</v>
      </c>
      <c r="C9" s="21">
        <f>COUNTBLANK(RawCustomers[FullName])</f>
        <v>0</v>
      </c>
      <c r="D9" s="6" t="s">
        <v>138</v>
      </c>
      <c r="E9" s="1" t="s">
        <v>143</v>
      </c>
    </row>
    <row r="11" spans="2:5" ht="17.25" customHeight="1" x14ac:dyDescent="0.35">
      <c r="B11" s="40" t="s">
        <v>144</v>
      </c>
      <c r="C11" s="40"/>
      <c r="D11" s="40"/>
      <c r="E11" s="40"/>
    </row>
    <row r="12" spans="2:5" x14ac:dyDescent="0.3">
      <c r="B12" s="8" t="s">
        <v>133</v>
      </c>
      <c r="C12" s="8" t="s">
        <v>134</v>
      </c>
      <c r="D12" s="8" t="s">
        <v>135</v>
      </c>
      <c r="E12" s="8" t="s">
        <v>136</v>
      </c>
    </row>
    <row r="13" spans="2:5" ht="42" customHeight="1" x14ac:dyDescent="0.3">
      <c r="B13" s="6" t="s">
        <v>145</v>
      </c>
      <c r="C13" s="21">
        <f t="array" ref="C13">SUMPRODUCT((COUNTIF(RawTransactions[ObligationID],RawTransactions[ObligationID])&gt;1)*1)</f>
        <v>0</v>
      </c>
      <c r="D13" s="6" t="s">
        <v>138</v>
      </c>
      <c r="E13" s="1" t="s">
        <v>146</v>
      </c>
    </row>
    <row r="14" spans="2:5" ht="42" customHeight="1" x14ac:dyDescent="0.3">
      <c r="B14" s="6" t="s">
        <v>147</v>
      </c>
      <c r="C14" s="21" cm="1">
        <f t="array" ref="C14">SUMPRODUCT((COUNTIF(RawCustomers[CustomerID],RawCustomers[CustomerID])&gt;1)*1)</f>
        <v>0</v>
      </c>
      <c r="D14" s="6" t="s">
        <v>138</v>
      </c>
      <c r="E14" s="1" t="s">
        <v>148</v>
      </c>
    </row>
    <row r="16" spans="2:5" ht="17.25" customHeight="1" x14ac:dyDescent="0.35">
      <c r="B16" s="40" t="s">
        <v>149</v>
      </c>
      <c r="C16" s="40"/>
      <c r="D16" s="40"/>
      <c r="E16" s="40"/>
    </row>
    <row r="17" spans="2:5" x14ac:dyDescent="0.3">
      <c r="B17" s="8" t="s">
        <v>133</v>
      </c>
      <c r="C17" s="8" t="s">
        <v>134</v>
      </c>
      <c r="D17" s="8" t="s">
        <v>135</v>
      </c>
      <c r="E17" s="8" t="s">
        <v>136</v>
      </c>
    </row>
    <row r="18" spans="2:5" ht="42" customHeight="1" x14ac:dyDescent="0.3">
      <c r="B18" s="6" t="s">
        <v>150</v>
      </c>
      <c r="C18" s="21">
        <f>COUNTIF(RawTransactions[ExpectedAmount],"&lt;0") + COUNTIF(RawTransactions[ActualPaidAmount],"&lt;0")</f>
        <v>0</v>
      </c>
      <c r="D18" s="6" t="s">
        <v>138</v>
      </c>
      <c r="E18" s="1" t="s">
        <v>151</v>
      </c>
    </row>
    <row r="19" spans="2:5" ht="42" customHeight="1" x14ac:dyDescent="0.3">
      <c r="B19" s="6" t="s">
        <v>152</v>
      </c>
      <c r="C19" s="21">
        <f>COUNTIF(RawTransactions[DaysLate],"&lt;0")</f>
        <v>0</v>
      </c>
      <c r="D19" s="6" t="s">
        <v>138</v>
      </c>
      <c r="E19" s="1" t="s">
        <v>153</v>
      </c>
    </row>
    <row r="20" spans="2:5" ht="42" customHeight="1" x14ac:dyDescent="0.3">
      <c r="B20" s="6" t="s">
        <v>154</v>
      </c>
      <c r="C20" s="21">
        <f>COUNTIFS(RawCustomers[CreditScore],"&lt;&gt;0",RawCustomers[CreditScore],"&lt;300") + COUNTIFS(RawCustomers[CreditScore],"&lt;&gt;0",RawCustomers[CreditScore],"&gt;850")</f>
        <v>0</v>
      </c>
      <c r="D20" s="6" t="s">
        <v>138</v>
      </c>
      <c r="E20" s="1" t="s">
        <v>155</v>
      </c>
    </row>
    <row r="21" spans="2:5" ht="42" customHeight="1" x14ac:dyDescent="0.3">
      <c r="B21" s="6" t="s">
        <v>156</v>
      </c>
      <c r="C21" s="21">
        <f>COUNTIF(RawCustomers[DSR_Pct],"&gt;100%")</f>
        <v>0</v>
      </c>
      <c r="D21" s="6" t="s">
        <v>157</v>
      </c>
      <c r="E21" s="1" t="s">
        <v>158</v>
      </c>
    </row>
    <row r="23" spans="2:5" ht="17.25" customHeight="1" x14ac:dyDescent="0.35">
      <c r="B23" s="40" t="s">
        <v>159</v>
      </c>
      <c r="C23" s="40"/>
      <c r="D23" s="40"/>
      <c r="E23" s="40"/>
    </row>
    <row r="24" spans="2:5" x14ac:dyDescent="0.3">
      <c r="B24" s="8" t="s">
        <v>133</v>
      </c>
      <c r="C24" s="8" t="s">
        <v>134</v>
      </c>
      <c r="D24" s="8" t="s">
        <v>135</v>
      </c>
      <c r="E24" s="8" t="s">
        <v>136</v>
      </c>
    </row>
    <row r="25" spans="2:5" ht="42" customHeight="1" x14ac:dyDescent="0.3">
      <c r="B25" s="6" t="s">
        <v>160</v>
      </c>
      <c r="C25" s="21">
        <f t="array" ref="C25">SUMPRODUCT((COUNTIF(RawCustomers[CustomerID], RawTransactions[CustomerID])=0)*1)</f>
        <v>0</v>
      </c>
      <c r="D25" s="6" t="s">
        <v>138</v>
      </c>
      <c r="E25" s="1" t="s">
        <v>161</v>
      </c>
    </row>
    <row r="26" spans="2:5" ht="42" customHeight="1" x14ac:dyDescent="0.3">
      <c r="B26" s="6" t="s">
        <v>162</v>
      </c>
      <c r="C26" s="21">
        <f t="array" ref="C26">SUMPRODUCT((COUNTIF(RawCustomers[CustomerID],RawOffers[CustomerID])=0)*1)</f>
        <v>0</v>
      </c>
      <c r="D26" s="6" t="s">
        <v>138</v>
      </c>
      <c r="E26" s="1" t="s">
        <v>163</v>
      </c>
    </row>
    <row r="28" spans="2:5" ht="43.5" customHeight="1" x14ac:dyDescent="0.3">
      <c r="B28" s="37" t="s">
        <v>164</v>
      </c>
      <c r="C28" s="37"/>
      <c r="D28" s="37"/>
      <c r="E28" s="37"/>
    </row>
  </sheetData>
  <mergeCells count="6">
    <mergeCell ref="B28:E28"/>
    <mergeCell ref="B3:E3"/>
    <mergeCell ref="B5:E5"/>
    <mergeCell ref="B11:E11"/>
    <mergeCell ref="B16:E16"/>
    <mergeCell ref="B23:E23"/>
  </mergeCell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2:E23"/>
  <sheetViews>
    <sheetView tabSelected="1" zoomScaleNormal="100" workbookViewId="0">
      <selection activeCell="E9" sqref="E9"/>
    </sheetView>
  </sheetViews>
  <sheetFormatPr defaultColWidth="8.6640625" defaultRowHeight="14.4" x14ac:dyDescent="0.3"/>
  <cols>
    <col min="1" max="1" width="3" customWidth="1"/>
    <col min="2" max="2" width="28" customWidth="1"/>
    <col min="3" max="3" width="20" customWidth="1"/>
    <col min="4" max="4" width="45" customWidth="1"/>
  </cols>
  <sheetData>
    <row r="2" spans="2:4" ht="23.25" customHeight="1" x14ac:dyDescent="0.45">
      <c r="B2" s="7" t="s">
        <v>165</v>
      </c>
    </row>
    <row r="3" spans="2:4" x14ac:dyDescent="0.3">
      <c r="B3" s="36" t="s">
        <v>166</v>
      </c>
      <c r="C3" s="36"/>
      <c r="D3" s="36"/>
    </row>
    <row r="5" spans="2:4" ht="17.25" customHeight="1" x14ac:dyDescent="0.35">
      <c r="B5" s="4" t="s">
        <v>167</v>
      </c>
    </row>
    <row r="6" spans="2:4" x14ac:dyDescent="0.3">
      <c r="B6" s="10" t="s">
        <v>168</v>
      </c>
      <c r="C6" s="22">
        <v>101</v>
      </c>
    </row>
    <row r="7" spans="2:4" x14ac:dyDescent="0.3">
      <c r="B7" s="10" t="s">
        <v>169</v>
      </c>
      <c r="C7" s="21" t="str">
        <f>INDEX(RawCustomers[FullName], MATCH(C6, RawCustomers[CustomerID], 0))</f>
        <v>Somchai Jaidee</v>
      </c>
      <c r="D7" s="2" t="s">
        <v>170</v>
      </c>
    </row>
    <row r="8" spans="2:4" x14ac:dyDescent="0.3">
      <c r="B8" s="10" t="s">
        <v>171</v>
      </c>
      <c r="C8" s="21">
        <f>INDEX(RawCustomers[MonthlyIncome],MATCH(C6,RawCustomers[CustomerID],0))</f>
        <v>45000</v>
      </c>
      <c r="D8" s="2" t="s">
        <v>172</v>
      </c>
    </row>
    <row r="9" spans="2:4" x14ac:dyDescent="0.3">
      <c r="B9" s="10" t="s">
        <v>173</v>
      </c>
      <c r="C9" s="21">
        <f>INDEX(RawCustomers[CreditScore],MATCH(C6,RawCustomers[CustomerID],0))</f>
        <v>715</v>
      </c>
      <c r="D9" s="2" t="s">
        <v>174</v>
      </c>
    </row>
    <row r="10" spans="2:4" x14ac:dyDescent="0.3">
      <c r="B10" s="10" t="s">
        <v>72</v>
      </c>
      <c r="C10" s="21">
        <f>INDEX(RawCustomers[DSR_Pct],MATCH(C6,RawCustomers[CustomerID],0))</f>
        <v>0.32500000000000001</v>
      </c>
      <c r="D10" s="2" t="s">
        <v>175</v>
      </c>
    </row>
    <row r="11" spans="2:4" x14ac:dyDescent="0.3">
      <c r="B11" s="10" t="s">
        <v>176</v>
      </c>
      <c r="C11" s="21" t="str">
        <f>INDEX(RawCustomers[EligibilityOutcome],MATCH(C6,RawCustomers[CustomerID],0))</f>
        <v>Eligible</v>
      </c>
      <c r="D11" s="2" t="s">
        <v>177</v>
      </c>
    </row>
    <row r="12" spans="2:4" x14ac:dyDescent="0.3">
      <c r="B12" s="10" t="s">
        <v>77</v>
      </c>
      <c r="C12" s="21" t="str">
        <f>INDEX(RawCustomers[Segment],MATCH(C6,RawCustomers[CustomerID],0))</f>
        <v>Stacked - at risk</v>
      </c>
      <c r="D12" s="2" t="s">
        <v>178</v>
      </c>
    </row>
    <row r="14" spans="2:4" ht="17.25" customHeight="1" x14ac:dyDescent="0.35">
      <c r="B14" s="4" t="s">
        <v>179</v>
      </c>
    </row>
    <row r="15" spans="2:4" ht="30" customHeight="1" x14ac:dyDescent="0.3">
      <c r="B15" s="37" t="s">
        <v>180</v>
      </c>
      <c r="C15" s="37"/>
      <c r="D15" s="37"/>
    </row>
    <row r="17" spans="2:5" x14ac:dyDescent="0.3">
      <c r="B17" s="8" t="s">
        <v>42</v>
      </c>
      <c r="C17" s="8" t="s">
        <v>169</v>
      </c>
      <c r="D17" s="8" t="s">
        <v>77</v>
      </c>
      <c r="E17" s="8" t="s">
        <v>181</v>
      </c>
    </row>
    <row r="18" spans="2:5" x14ac:dyDescent="0.3">
      <c r="B18" s="22">
        <v>105</v>
      </c>
      <c r="C18" s="21" t="str">
        <f>IFERROR(INDEX(RawCustomers[FullName], MATCH(B18, RawCustomers[CustomerID], 0)), "Not Found")</f>
        <v>Kittipong Srisuk</v>
      </c>
      <c r="D18" s="21" t="str">
        <f>IFERROR(INDEX(RawCustomers[Segment], MATCH(B18, RawCustomers[CustomerID], 0)), "Not Found")</f>
        <v>Stacked - healthy</v>
      </c>
      <c r="E18" s="21" t="str">
        <f>IF(COUNTIF(RawCustomers[CustomerID], B18)&gt;0, "Yes", "No")</f>
        <v>Yes</v>
      </c>
    </row>
    <row r="19" spans="2:5" x14ac:dyDescent="0.3">
      <c r="B19" s="22">
        <v>101</v>
      </c>
      <c r="C19" s="21" t="str">
        <f>IFERROR(INDEX(RawCustomers[FullName], MATCH(B19, RawCustomers[CustomerID], 0)), "Not Found")</f>
        <v>Somchai Jaidee</v>
      </c>
      <c r="D19" s="21" t="str">
        <f>IFERROR(INDEX(RawCustomers[Segment], MATCH(B19, RawCustomers[CustomerID], 0)), "Not Found")</f>
        <v>Stacked - at risk</v>
      </c>
      <c r="E19" s="21" t="str">
        <f>IF(COUNTIF(RawCustomers[CustomerID], B19)&gt;0, "Yes", "No")</f>
        <v>Yes</v>
      </c>
    </row>
    <row r="20" spans="2:5" x14ac:dyDescent="0.3">
      <c r="B20" s="22">
        <v>113</v>
      </c>
      <c r="C20" s="21" t="str">
        <f>IFERROR(INDEX(RawCustomers[FullName], MATCH(B20, RawCustomers[CustomerID], 0)), "Not Found")</f>
        <v>Boonsong Meechai</v>
      </c>
      <c r="D20" s="21" t="str">
        <f>IFERROR(INDEX(RawCustomers[Segment], MATCH(B20, RawCustomers[CustomerID], 0)), "Not Found")</f>
        <v>Stacked - at risk</v>
      </c>
      <c r="E20" s="21" t="str">
        <f>IF(COUNTIF(RawCustomers[CustomerID], B20)&gt;0, "Yes", "No")</f>
        <v>Yes</v>
      </c>
    </row>
    <row r="21" spans="2:5" x14ac:dyDescent="0.3">
      <c r="B21" s="22">
        <v>999</v>
      </c>
      <c r="C21" s="21" t="str">
        <f>IFERROR(INDEX(RawCustomers[FullName], MATCH(B21, RawCustomers[CustomerID], 0)), "Not Found")</f>
        <v>Not Found</v>
      </c>
      <c r="D21" s="21" t="str">
        <f>IFERROR(INDEX(RawCustomers[Segment], MATCH(B21, RawCustomers[CustomerID], 0)), "Not Found")</f>
        <v>Not Found</v>
      </c>
      <c r="E21" s="21" t="str">
        <f>IF(COUNTIF(RawCustomers[CustomerID], B21)&gt;0, "Yes", "No")</f>
        <v>No</v>
      </c>
    </row>
    <row r="22" spans="2:5" x14ac:dyDescent="0.3">
      <c r="B22" s="22">
        <v>102</v>
      </c>
      <c r="C22" s="21" t="str">
        <f>IFERROR(INDEX(RawCustomers[FullName], MATCH(B22, RawCustomers[CustomerID], 0)), "Not Found")</f>
        <v>Suda Panyawong</v>
      </c>
      <c r="D22" s="21" t="str">
        <f>IFERROR(INDEX(RawCustomers[Segment], MATCH(B22, RawCustomers[CustomerID], 0)), "Not Found")</f>
        <v>Stacked - at risk</v>
      </c>
      <c r="E22" s="21" t="str">
        <f>IF(COUNTIF(RawCustomers[CustomerID], B22)&gt;0, "Yes", "No")</f>
        <v>Yes</v>
      </c>
    </row>
    <row r="23" spans="2:5" x14ac:dyDescent="0.3">
      <c r="B23" s="22">
        <v>116</v>
      </c>
      <c r="C23" s="21" t="str">
        <f>IFERROR(INDEX(RawCustomers[FullName], MATCH(B23, RawCustomers[CustomerID], 0)), "Not Found")</f>
        <v>Kanya Ruangrit</v>
      </c>
      <c r="D23" s="21" t="str">
        <f>IFERROR(INDEX(RawCustomers[Segment], MATCH(B23, RawCustomers[CustomerID], 0)), "Not Found")</f>
        <v>Stacked - at risk</v>
      </c>
      <c r="E23" s="21" t="str">
        <f>IF(COUNTIF(RawCustomers[CustomerID], B23)&gt;0, "Yes", "No")</f>
        <v>Yes</v>
      </c>
    </row>
  </sheetData>
  <mergeCells count="2">
    <mergeCell ref="B3:D3"/>
    <mergeCell ref="B15:D15"/>
  </mergeCell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2:E12"/>
  <sheetViews>
    <sheetView topLeftCell="A2" zoomScaleNormal="100" workbookViewId="0">
      <selection activeCell="D7" sqref="D7"/>
    </sheetView>
  </sheetViews>
  <sheetFormatPr defaultColWidth="8.6640625" defaultRowHeight="14.4" x14ac:dyDescent="0.3"/>
  <cols>
    <col min="1" max="1" width="3" customWidth="1"/>
    <col min="2" max="2" width="32" customWidth="1"/>
    <col min="3" max="3" width="14" customWidth="1"/>
    <col min="4" max="4" width="12" customWidth="1"/>
    <col min="5" max="5" width="52" customWidth="1"/>
  </cols>
  <sheetData>
    <row r="2" spans="2:5" ht="23.25" customHeight="1" x14ac:dyDescent="0.45">
      <c r="B2" s="7" t="s">
        <v>182</v>
      </c>
    </row>
    <row r="3" spans="2:5" x14ac:dyDescent="0.3">
      <c r="B3" s="36" t="s">
        <v>183</v>
      </c>
      <c r="C3" s="36"/>
      <c r="D3" s="36"/>
      <c r="E3" s="36"/>
    </row>
    <row r="5" spans="2:5" x14ac:dyDescent="0.3">
      <c r="B5" s="8" t="s">
        <v>184</v>
      </c>
      <c r="C5" s="8" t="s">
        <v>185</v>
      </c>
      <c r="D5" s="8" t="s">
        <v>186</v>
      </c>
      <c r="E5" s="8" t="s">
        <v>187</v>
      </c>
    </row>
    <row r="6" spans="2:5" x14ac:dyDescent="0.3">
      <c r="B6" s="10" t="s">
        <v>188</v>
      </c>
      <c r="C6" s="21">
        <f>COUNTA(RawCustomers[CustomerID])</f>
        <v>20</v>
      </c>
      <c r="D6" s="21">
        <f>C6/$C$6</f>
        <v>1</v>
      </c>
      <c r="E6" s="3" t="s">
        <v>189</v>
      </c>
    </row>
    <row r="7" spans="2:5" x14ac:dyDescent="0.3">
      <c r="B7" s="10" t="s">
        <v>190</v>
      </c>
      <c r="C7" s="21">
        <f>COUNTIF(RawCustomers[Segment],"Stacked*")</f>
        <v>12</v>
      </c>
      <c r="D7" s="21">
        <f>C7/$C$6</f>
        <v>0.6</v>
      </c>
      <c r="E7" s="3" t="s">
        <v>191</v>
      </c>
    </row>
    <row r="8" spans="2:5" x14ac:dyDescent="0.3">
      <c r="B8" s="10" t="s">
        <v>192</v>
      </c>
      <c r="C8" s="21">
        <f>COUNTIF(RawCustomers[Segment],"Stacked - at risk")</f>
        <v>8</v>
      </c>
      <c r="D8" s="21">
        <f>C8/$C$6</f>
        <v>0.4</v>
      </c>
      <c r="E8" s="3" t="s">
        <v>193</v>
      </c>
    </row>
    <row r="9" spans="2:5" x14ac:dyDescent="0.3">
      <c r="B9" s="10" t="s">
        <v>194</v>
      </c>
      <c r="C9" s="21">
        <f>COUNTIF(RawCustomers[EligibilityOutcome], "Eligible")</f>
        <v>4</v>
      </c>
      <c r="D9" s="21">
        <f>C9/$C$6</f>
        <v>0.2</v>
      </c>
      <c r="E9" s="3" t="s">
        <v>195</v>
      </c>
    </row>
    <row r="10" spans="2:5" ht="27" customHeight="1" x14ac:dyDescent="0.3">
      <c r="B10" s="10" t="s">
        <v>196</v>
      </c>
      <c r="C10" s="21">
        <f>COUNTIF(RawOffers[Status],"Accepted")</f>
        <v>3</v>
      </c>
      <c r="D10" s="21">
        <f>C10/$C$6</f>
        <v>0.15</v>
      </c>
      <c r="E10" s="3" t="s">
        <v>197</v>
      </c>
    </row>
    <row r="12" spans="2:5" ht="30" customHeight="1" x14ac:dyDescent="0.3">
      <c r="B12" s="37" t="s">
        <v>198</v>
      </c>
      <c r="C12" s="37"/>
      <c r="D12" s="37"/>
      <c r="E12" s="37"/>
    </row>
  </sheetData>
  <mergeCells count="2">
    <mergeCell ref="B3:E3"/>
    <mergeCell ref="B12:E12"/>
  </mergeCells>
  <pageMargins left="0.75" right="0.75" top="1" bottom="1" header="0.511811023622047" footer="0.511811023622047"/>
  <pageSetup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N43"/>
  <sheetViews>
    <sheetView topLeftCell="A7" zoomScaleNormal="100" workbookViewId="0">
      <selection activeCell="B13" sqref="B13:D13"/>
    </sheetView>
  </sheetViews>
  <sheetFormatPr defaultColWidth="8.6640625" defaultRowHeight="14.4" x14ac:dyDescent="0.3"/>
  <cols>
    <col min="1" max="1" width="3" customWidth="1"/>
    <col min="2" max="2" width="34" customWidth="1"/>
    <col min="3" max="3" width="10.6640625" customWidth="1"/>
    <col min="4" max="5" width="9.88671875" customWidth="1"/>
    <col min="6" max="6" width="8.88671875" customWidth="1"/>
    <col min="7" max="7" width="13.5546875" customWidth="1"/>
    <col min="8" max="8" width="10.5546875" customWidth="1"/>
    <col min="9" max="9" width="10.109375" customWidth="1"/>
    <col min="10" max="10" width="13.5546875" customWidth="1"/>
    <col min="11" max="12" width="14" customWidth="1"/>
  </cols>
  <sheetData>
    <row r="2" spans="1:14" ht="23.25" customHeight="1" x14ac:dyDescent="0.45">
      <c r="B2" s="7" t="s">
        <v>199</v>
      </c>
    </row>
    <row r="3" spans="1:14" ht="30" customHeight="1" x14ac:dyDescent="0.3">
      <c r="B3" s="37" t="s">
        <v>200</v>
      </c>
      <c r="C3" s="37"/>
      <c r="D3" s="37"/>
      <c r="E3" s="37"/>
      <c r="F3" s="37"/>
      <c r="G3" s="37"/>
      <c r="H3" s="37"/>
      <c r="I3" s="37"/>
      <c r="J3" s="37"/>
      <c r="K3" s="37"/>
      <c r="L3" s="37"/>
    </row>
    <row r="4" spans="1:14" ht="43.5" customHeight="1" x14ac:dyDescent="0.3">
      <c r="A4" s="23"/>
      <c r="B4" s="41" t="s">
        <v>201</v>
      </c>
      <c r="C4" s="41"/>
      <c r="D4" s="41"/>
      <c r="E4" s="41"/>
      <c r="F4" s="41"/>
      <c r="G4" s="41"/>
      <c r="H4" s="41"/>
      <c r="I4" s="41"/>
      <c r="J4" s="41"/>
      <c r="K4" s="41"/>
      <c r="L4" s="41"/>
      <c r="M4" s="23"/>
      <c r="N4" s="23"/>
    </row>
    <row r="5" spans="1:14" x14ac:dyDescent="0.3">
      <c r="A5" s="23"/>
      <c r="B5" s="23"/>
      <c r="C5" s="23"/>
      <c r="D5" s="23"/>
      <c r="E5" s="23"/>
      <c r="F5" s="23"/>
      <c r="G5" s="23"/>
      <c r="H5" s="23"/>
      <c r="I5" s="23"/>
      <c r="J5" s="23"/>
      <c r="K5" s="23"/>
      <c r="L5" s="23"/>
      <c r="M5" s="23"/>
      <c r="N5" s="23"/>
    </row>
    <row r="6" spans="1:14" ht="17.25" customHeight="1" x14ac:dyDescent="0.35">
      <c r="A6" s="23"/>
      <c r="B6" s="4" t="s">
        <v>202</v>
      </c>
      <c r="C6" s="23"/>
      <c r="D6" s="23"/>
      <c r="E6" s="23"/>
      <c r="F6" s="23"/>
      <c r="G6" s="23"/>
      <c r="H6" s="23"/>
      <c r="I6" s="23"/>
      <c r="J6" s="23"/>
      <c r="K6" s="23"/>
      <c r="L6" s="23"/>
      <c r="M6" s="23"/>
      <c r="N6" s="23"/>
    </row>
    <row r="7" spans="1:14" ht="48" customHeight="1" x14ac:dyDescent="0.3">
      <c r="A7" s="23"/>
      <c r="B7" s="42" t="s">
        <v>203</v>
      </c>
      <c r="C7" s="42"/>
      <c r="D7" s="42"/>
      <c r="E7" s="24">
        <v>6</v>
      </c>
      <c r="F7" s="23"/>
      <c r="G7" s="23"/>
      <c r="H7" s="23"/>
      <c r="I7" s="23"/>
      <c r="J7" s="23"/>
      <c r="K7" s="23"/>
      <c r="L7" s="23"/>
      <c r="M7" s="23"/>
      <c r="N7" s="23"/>
    </row>
    <row r="8" spans="1:14" ht="48" customHeight="1" x14ac:dyDescent="0.3">
      <c r="A8" s="23"/>
      <c r="B8" s="42" t="s">
        <v>204</v>
      </c>
      <c r="C8" s="42"/>
      <c r="D8" s="42"/>
      <c r="E8" s="24">
        <v>7</v>
      </c>
      <c r="F8" s="23"/>
      <c r="G8" s="23"/>
      <c r="H8" s="23"/>
      <c r="I8" s="23"/>
      <c r="J8" s="23"/>
      <c r="K8" s="23"/>
      <c r="L8" s="23"/>
      <c r="M8" s="23"/>
      <c r="N8" s="23"/>
    </row>
    <row r="9" spans="1:14" ht="48" customHeight="1" x14ac:dyDescent="0.3">
      <c r="A9" s="23"/>
      <c r="B9" s="42" t="s">
        <v>205</v>
      </c>
      <c r="C9" s="42"/>
      <c r="D9" s="42"/>
      <c r="E9" s="25">
        <v>2500000</v>
      </c>
      <c r="F9" s="23"/>
      <c r="G9" s="23"/>
      <c r="H9" s="23"/>
      <c r="I9" s="23"/>
      <c r="J9" s="23"/>
      <c r="K9" s="23"/>
      <c r="L9" s="23"/>
      <c r="M9" s="23"/>
      <c r="N9" s="23"/>
    </row>
    <row r="10" spans="1:14" ht="48" customHeight="1" x14ac:dyDescent="0.3">
      <c r="A10" s="23"/>
      <c r="B10" s="42" t="s">
        <v>206</v>
      </c>
      <c r="C10" s="42"/>
      <c r="D10" s="42"/>
      <c r="E10" s="25">
        <v>900000</v>
      </c>
      <c r="F10" s="23"/>
      <c r="G10" s="23"/>
      <c r="H10" s="23"/>
      <c r="I10" s="23"/>
      <c r="J10" s="23"/>
      <c r="K10" s="23"/>
      <c r="L10" s="23"/>
      <c r="M10" s="23"/>
      <c r="N10" s="23"/>
    </row>
    <row r="11" spans="1:14" ht="48" customHeight="1" x14ac:dyDescent="0.3">
      <c r="A11" s="23"/>
      <c r="B11" s="42" t="s">
        <v>207</v>
      </c>
      <c r="C11" s="42"/>
      <c r="D11" s="42"/>
      <c r="E11" s="25">
        <v>180000</v>
      </c>
      <c r="F11" s="23"/>
      <c r="G11" s="23"/>
      <c r="H11" s="23"/>
      <c r="I11" s="23"/>
      <c r="J11" s="23"/>
      <c r="K11" s="23"/>
      <c r="L11" s="23"/>
      <c r="M11" s="23"/>
      <c r="N11" s="23"/>
    </row>
    <row r="12" spans="1:14" ht="48" customHeight="1" x14ac:dyDescent="0.3">
      <c r="A12" s="23"/>
      <c r="B12" s="42" t="s">
        <v>208</v>
      </c>
      <c r="C12" s="42"/>
      <c r="D12" s="42"/>
      <c r="E12" s="25">
        <v>70000</v>
      </c>
      <c r="F12" s="23"/>
      <c r="G12" s="23"/>
      <c r="H12" s="23"/>
      <c r="I12" s="23"/>
      <c r="J12" s="23"/>
      <c r="K12" s="23"/>
      <c r="L12" s="23"/>
      <c r="M12" s="23"/>
      <c r="N12" s="23"/>
    </row>
    <row r="13" spans="1:14" ht="48" customHeight="1" x14ac:dyDescent="0.3">
      <c r="A13" s="23"/>
      <c r="B13" s="42" t="s">
        <v>209</v>
      </c>
      <c r="C13" s="42"/>
      <c r="D13" s="42"/>
      <c r="E13" s="24">
        <v>6</v>
      </c>
      <c r="F13" s="23"/>
      <c r="G13" s="23"/>
      <c r="H13" s="23"/>
      <c r="I13" s="23"/>
      <c r="J13" s="23"/>
      <c r="K13" s="23"/>
      <c r="L13" s="23"/>
      <c r="M13" s="23"/>
      <c r="N13" s="23"/>
    </row>
    <row r="14" spans="1:14" ht="48" customHeight="1" x14ac:dyDescent="0.3">
      <c r="A14" s="23"/>
      <c r="B14" s="42" t="s">
        <v>210</v>
      </c>
      <c r="C14" s="42"/>
      <c r="D14" s="42"/>
      <c r="E14" s="24">
        <v>3</v>
      </c>
      <c r="F14" s="23"/>
      <c r="G14" s="23"/>
      <c r="H14" s="23"/>
      <c r="I14" s="23"/>
      <c r="J14" s="23"/>
      <c r="K14" s="23"/>
      <c r="L14" s="23"/>
      <c r="M14" s="23"/>
      <c r="N14" s="23"/>
    </row>
    <row r="15" spans="1:14" ht="99.75" customHeight="1" x14ac:dyDescent="0.3">
      <c r="A15" s="23"/>
      <c r="B15" s="41" t="s">
        <v>211</v>
      </c>
      <c r="C15" s="41"/>
      <c r="D15" s="41"/>
      <c r="E15" s="41"/>
      <c r="F15" s="41"/>
      <c r="G15" s="41"/>
      <c r="H15" s="41"/>
      <c r="I15" s="41"/>
      <c r="J15" s="41"/>
      <c r="K15" s="41"/>
      <c r="L15" s="41"/>
      <c r="M15" s="23"/>
      <c r="N15" s="23"/>
    </row>
    <row r="16" spans="1:14" x14ac:dyDescent="0.3">
      <c r="A16" s="23"/>
      <c r="B16" s="23"/>
      <c r="C16" s="23"/>
      <c r="D16" s="23"/>
      <c r="E16" s="23"/>
      <c r="F16" s="23"/>
      <c r="G16" s="23"/>
      <c r="H16" s="23"/>
      <c r="I16" s="23"/>
      <c r="J16" s="23"/>
      <c r="K16" s="23"/>
      <c r="L16" s="23"/>
      <c r="M16" s="23"/>
      <c r="N16" s="23"/>
    </row>
    <row r="17" spans="1:14" x14ac:dyDescent="0.3">
      <c r="A17" s="23"/>
      <c r="B17" s="23"/>
      <c r="C17" s="23"/>
      <c r="D17" s="23"/>
      <c r="E17" s="23"/>
      <c r="F17" s="23"/>
      <c r="G17" s="23"/>
      <c r="H17" s="23"/>
      <c r="I17" s="23"/>
      <c r="J17" s="23"/>
      <c r="K17" s="23"/>
      <c r="L17" s="23"/>
      <c r="M17" s="23"/>
      <c r="N17" s="23"/>
    </row>
    <row r="18" spans="1:14" ht="54.75" customHeight="1" x14ac:dyDescent="0.3">
      <c r="A18" s="23"/>
      <c r="B18" s="26" t="s">
        <v>212</v>
      </c>
      <c r="C18" s="26" t="s">
        <v>213</v>
      </c>
      <c r="D18" s="26" t="s">
        <v>214</v>
      </c>
      <c r="E18" s="26" t="s">
        <v>215</v>
      </c>
      <c r="F18" s="26" t="s">
        <v>216</v>
      </c>
      <c r="G18" s="26" t="s">
        <v>217</v>
      </c>
      <c r="H18" s="26" t="s">
        <v>218</v>
      </c>
      <c r="I18" s="26" t="s">
        <v>219</v>
      </c>
      <c r="J18" s="27"/>
      <c r="K18" s="23"/>
      <c r="L18" s="23"/>
      <c r="M18" s="23"/>
      <c r="N18" s="23"/>
    </row>
    <row r="19" spans="1:14" x14ac:dyDescent="0.3">
      <c r="A19" s="23"/>
      <c r="B19" s="28">
        <v>0</v>
      </c>
      <c r="C19" s="28">
        <v>0</v>
      </c>
      <c r="D19" s="28">
        <v>0</v>
      </c>
      <c r="E19" s="28">
        <v>0</v>
      </c>
      <c r="F19" s="28">
        <v>0</v>
      </c>
      <c r="G19" s="28">
        <v>0</v>
      </c>
      <c r="H19" s="28">
        <v>0</v>
      </c>
      <c r="I19" s="28">
        <v>0</v>
      </c>
      <c r="J19" s="23"/>
      <c r="K19" s="23"/>
      <c r="L19" s="23"/>
      <c r="M19" s="23"/>
      <c r="N19" s="23"/>
    </row>
    <row r="20" spans="1:14" x14ac:dyDescent="0.3">
      <c r="A20" s="23"/>
      <c r="B20" s="29">
        <f t="shared" ref="B20:B31" si="0">B19+1</f>
        <v>1</v>
      </c>
      <c r="C20" s="29">
        <f t="shared" ref="C20:C31" si="1">E20-E19</f>
        <v>1</v>
      </c>
      <c r="D20" s="29">
        <f t="shared" ref="D20:D31" si="2">F20-F19</f>
        <v>0</v>
      </c>
      <c r="E20" s="29">
        <f t="shared" ref="E20:E31" si="3">MIN($E$7,ROUNDDOWN((B20-1)/$E$13,0)+1)</f>
        <v>1</v>
      </c>
      <c r="F20" s="29">
        <f t="shared" ref="F20:F31" si="4">IF(B20=1,0,MIN($E$8,ROUNDDOWN((B20-2)/$E$14,0)+1))</f>
        <v>0</v>
      </c>
      <c r="G20" s="28">
        <f t="shared" ref="G20:G31" si="5">C20*$E$9+D20*$E$10</f>
        <v>2500000</v>
      </c>
      <c r="H20" s="28">
        <f t="shared" ref="H20:H31" si="6">E20*$E$11+F20*$E$12</f>
        <v>180000</v>
      </c>
      <c r="I20" s="28">
        <f t="shared" ref="I20:I31" si="7">G20+H20</f>
        <v>2680000</v>
      </c>
      <c r="J20" s="23"/>
      <c r="K20" s="23"/>
      <c r="L20" s="23"/>
      <c r="M20" s="23"/>
      <c r="N20" s="23"/>
    </row>
    <row r="21" spans="1:14" x14ac:dyDescent="0.3">
      <c r="A21" s="23"/>
      <c r="B21" s="29">
        <f t="shared" si="0"/>
        <v>2</v>
      </c>
      <c r="C21" s="29">
        <f t="shared" si="1"/>
        <v>0</v>
      </c>
      <c r="D21" s="29">
        <f t="shared" si="2"/>
        <v>1</v>
      </c>
      <c r="E21" s="29">
        <f t="shared" si="3"/>
        <v>1</v>
      </c>
      <c r="F21" s="29">
        <f t="shared" si="4"/>
        <v>1</v>
      </c>
      <c r="G21" s="28">
        <f t="shared" si="5"/>
        <v>900000</v>
      </c>
      <c r="H21" s="28">
        <f t="shared" si="6"/>
        <v>250000</v>
      </c>
      <c r="I21" s="28">
        <f t="shared" si="7"/>
        <v>1150000</v>
      </c>
      <c r="J21" s="23"/>
      <c r="K21" s="23"/>
      <c r="L21" s="23"/>
      <c r="M21" s="23"/>
      <c r="N21" s="23"/>
    </row>
    <row r="22" spans="1:14" x14ac:dyDescent="0.3">
      <c r="A22" s="23"/>
      <c r="B22" s="29">
        <f t="shared" si="0"/>
        <v>3</v>
      </c>
      <c r="C22" s="29">
        <f t="shared" si="1"/>
        <v>0</v>
      </c>
      <c r="D22" s="29">
        <f t="shared" si="2"/>
        <v>0</v>
      </c>
      <c r="E22" s="29">
        <f t="shared" si="3"/>
        <v>1</v>
      </c>
      <c r="F22" s="29">
        <f t="shared" si="4"/>
        <v>1</v>
      </c>
      <c r="G22" s="28">
        <f t="shared" si="5"/>
        <v>0</v>
      </c>
      <c r="H22" s="28">
        <f t="shared" si="6"/>
        <v>250000</v>
      </c>
      <c r="I22" s="28">
        <f t="shared" si="7"/>
        <v>250000</v>
      </c>
      <c r="J22" s="23"/>
      <c r="K22" s="23"/>
      <c r="L22" s="23"/>
      <c r="M22" s="23"/>
      <c r="N22" s="23"/>
    </row>
    <row r="23" spans="1:14" x14ac:dyDescent="0.3">
      <c r="A23" s="23"/>
      <c r="B23" s="29">
        <f t="shared" si="0"/>
        <v>4</v>
      </c>
      <c r="C23" s="29">
        <f t="shared" si="1"/>
        <v>0</v>
      </c>
      <c r="D23" s="29">
        <f t="shared" si="2"/>
        <v>0</v>
      </c>
      <c r="E23" s="29">
        <f t="shared" si="3"/>
        <v>1</v>
      </c>
      <c r="F23" s="29">
        <f t="shared" si="4"/>
        <v>1</v>
      </c>
      <c r="G23" s="28">
        <f t="shared" si="5"/>
        <v>0</v>
      </c>
      <c r="H23" s="28">
        <f t="shared" si="6"/>
        <v>250000</v>
      </c>
      <c r="I23" s="28">
        <f t="shared" si="7"/>
        <v>250000</v>
      </c>
      <c r="J23" s="23"/>
      <c r="K23" s="23"/>
      <c r="L23" s="23"/>
      <c r="M23" s="23"/>
      <c r="N23" s="23"/>
    </row>
    <row r="24" spans="1:14" x14ac:dyDescent="0.3">
      <c r="A24" s="23"/>
      <c r="B24" s="29">
        <f t="shared" si="0"/>
        <v>5</v>
      </c>
      <c r="C24" s="29">
        <f t="shared" si="1"/>
        <v>0</v>
      </c>
      <c r="D24" s="29">
        <f t="shared" si="2"/>
        <v>1</v>
      </c>
      <c r="E24" s="29">
        <f t="shared" si="3"/>
        <v>1</v>
      </c>
      <c r="F24" s="29">
        <f t="shared" si="4"/>
        <v>2</v>
      </c>
      <c r="G24" s="28">
        <f t="shared" si="5"/>
        <v>900000</v>
      </c>
      <c r="H24" s="28">
        <f t="shared" si="6"/>
        <v>320000</v>
      </c>
      <c r="I24" s="28">
        <f t="shared" si="7"/>
        <v>1220000</v>
      </c>
      <c r="J24" s="23"/>
      <c r="K24" s="23"/>
      <c r="L24" s="23"/>
      <c r="M24" s="23"/>
      <c r="N24" s="23"/>
    </row>
    <row r="25" spans="1:14" x14ac:dyDescent="0.3">
      <c r="A25" s="23"/>
      <c r="B25" s="29">
        <f t="shared" si="0"/>
        <v>6</v>
      </c>
      <c r="C25" s="29">
        <f t="shared" si="1"/>
        <v>0</v>
      </c>
      <c r="D25" s="29">
        <f t="shared" si="2"/>
        <v>0</v>
      </c>
      <c r="E25" s="29">
        <f t="shared" si="3"/>
        <v>1</v>
      </c>
      <c r="F25" s="29">
        <f t="shared" si="4"/>
        <v>2</v>
      </c>
      <c r="G25" s="28">
        <f t="shared" si="5"/>
        <v>0</v>
      </c>
      <c r="H25" s="28">
        <f t="shared" si="6"/>
        <v>320000</v>
      </c>
      <c r="I25" s="28">
        <f t="shared" si="7"/>
        <v>320000</v>
      </c>
      <c r="J25" s="23"/>
      <c r="K25" s="23"/>
      <c r="L25" s="23"/>
      <c r="M25" s="23"/>
      <c r="N25" s="23"/>
    </row>
    <row r="26" spans="1:14" x14ac:dyDescent="0.3">
      <c r="A26" s="23"/>
      <c r="B26" s="29">
        <f t="shared" si="0"/>
        <v>7</v>
      </c>
      <c r="C26" s="29">
        <f t="shared" si="1"/>
        <v>1</v>
      </c>
      <c r="D26" s="29">
        <f t="shared" si="2"/>
        <v>0</v>
      </c>
      <c r="E26" s="29">
        <f t="shared" si="3"/>
        <v>2</v>
      </c>
      <c r="F26" s="29">
        <f t="shared" si="4"/>
        <v>2</v>
      </c>
      <c r="G26" s="28">
        <f t="shared" si="5"/>
        <v>2500000</v>
      </c>
      <c r="H26" s="28">
        <f t="shared" si="6"/>
        <v>500000</v>
      </c>
      <c r="I26" s="28">
        <f t="shared" si="7"/>
        <v>3000000</v>
      </c>
      <c r="J26" s="23"/>
      <c r="K26" s="23"/>
      <c r="L26" s="23"/>
      <c r="M26" s="23"/>
      <c r="N26" s="23"/>
    </row>
    <row r="27" spans="1:14" x14ac:dyDescent="0.3">
      <c r="A27" s="23"/>
      <c r="B27" s="29">
        <f t="shared" si="0"/>
        <v>8</v>
      </c>
      <c r="C27" s="29">
        <f t="shared" si="1"/>
        <v>0</v>
      </c>
      <c r="D27" s="29">
        <f t="shared" si="2"/>
        <v>1</v>
      </c>
      <c r="E27" s="29">
        <f t="shared" si="3"/>
        <v>2</v>
      </c>
      <c r="F27" s="29">
        <f t="shared" si="4"/>
        <v>3</v>
      </c>
      <c r="G27" s="28">
        <f t="shared" si="5"/>
        <v>900000</v>
      </c>
      <c r="H27" s="28">
        <f t="shared" si="6"/>
        <v>570000</v>
      </c>
      <c r="I27" s="28">
        <f t="shared" si="7"/>
        <v>1470000</v>
      </c>
      <c r="J27" s="23"/>
      <c r="K27" s="23"/>
      <c r="L27" s="23"/>
      <c r="M27" s="23"/>
      <c r="N27" s="23"/>
    </row>
    <row r="28" spans="1:14" x14ac:dyDescent="0.3">
      <c r="A28" s="23"/>
      <c r="B28" s="29">
        <f t="shared" si="0"/>
        <v>9</v>
      </c>
      <c r="C28" s="29">
        <f t="shared" si="1"/>
        <v>0</v>
      </c>
      <c r="D28" s="29">
        <f t="shared" si="2"/>
        <v>0</v>
      </c>
      <c r="E28" s="29">
        <f t="shared" si="3"/>
        <v>2</v>
      </c>
      <c r="F28" s="29">
        <f t="shared" si="4"/>
        <v>3</v>
      </c>
      <c r="G28" s="28">
        <f t="shared" si="5"/>
        <v>0</v>
      </c>
      <c r="H28" s="28">
        <f t="shared" si="6"/>
        <v>570000</v>
      </c>
      <c r="I28" s="28">
        <f t="shared" si="7"/>
        <v>570000</v>
      </c>
      <c r="J28" s="23"/>
      <c r="K28" s="23"/>
      <c r="L28" s="23"/>
      <c r="M28" s="23"/>
      <c r="N28" s="23"/>
    </row>
    <row r="29" spans="1:14" x14ac:dyDescent="0.3">
      <c r="A29" s="23"/>
      <c r="B29" s="29">
        <f t="shared" si="0"/>
        <v>10</v>
      </c>
      <c r="C29" s="29">
        <f t="shared" si="1"/>
        <v>0</v>
      </c>
      <c r="D29" s="29">
        <f t="shared" si="2"/>
        <v>0</v>
      </c>
      <c r="E29" s="29">
        <f t="shared" si="3"/>
        <v>2</v>
      </c>
      <c r="F29" s="29">
        <f t="shared" si="4"/>
        <v>3</v>
      </c>
      <c r="G29" s="28">
        <f t="shared" si="5"/>
        <v>0</v>
      </c>
      <c r="H29" s="28">
        <f t="shared" si="6"/>
        <v>570000</v>
      </c>
      <c r="I29" s="28">
        <f t="shared" si="7"/>
        <v>570000</v>
      </c>
      <c r="J29" s="23"/>
      <c r="K29" s="23"/>
      <c r="L29" s="23"/>
      <c r="M29" s="23"/>
      <c r="N29" s="23"/>
    </row>
    <row r="30" spans="1:14" x14ac:dyDescent="0.3">
      <c r="A30" s="23"/>
      <c r="B30" s="29">
        <f t="shared" si="0"/>
        <v>11</v>
      </c>
      <c r="C30" s="29">
        <f t="shared" si="1"/>
        <v>0</v>
      </c>
      <c r="D30" s="29">
        <f t="shared" si="2"/>
        <v>1</v>
      </c>
      <c r="E30" s="29">
        <f t="shared" si="3"/>
        <v>2</v>
      </c>
      <c r="F30" s="29">
        <f t="shared" si="4"/>
        <v>4</v>
      </c>
      <c r="G30" s="28">
        <f t="shared" si="5"/>
        <v>900000</v>
      </c>
      <c r="H30" s="28">
        <f t="shared" si="6"/>
        <v>640000</v>
      </c>
      <c r="I30" s="28">
        <f t="shared" si="7"/>
        <v>1540000</v>
      </c>
      <c r="J30" s="23"/>
      <c r="K30" s="23"/>
      <c r="L30" s="23"/>
      <c r="M30" s="23"/>
      <c r="N30" s="23"/>
    </row>
    <row r="31" spans="1:14" x14ac:dyDescent="0.3">
      <c r="A31" s="23"/>
      <c r="B31" s="29">
        <f t="shared" si="0"/>
        <v>12</v>
      </c>
      <c r="C31" s="29">
        <f t="shared" si="1"/>
        <v>0</v>
      </c>
      <c r="D31" s="29">
        <f t="shared" si="2"/>
        <v>0</v>
      </c>
      <c r="E31" s="29">
        <f t="shared" si="3"/>
        <v>2</v>
      </c>
      <c r="F31" s="29">
        <f t="shared" si="4"/>
        <v>4</v>
      </c>
      <c r="G31" s="28">
        <f t="shared" si="5"/>
        <v>0</v>
      </c>
      <c r="H31" s="28">
        <f t="shared" si="6"/>
        <v>640000</v>
      </c>
      <c r="I31" s="28">
        <f t="shared" si="7"/>
        <v>640000</v>
      </c>
      <c r="J31" s="23"/>
      <c r="K31" s="23"/>
      <c r="L31" s="23"/>
      <c r="M31" s="23"/>
      <c r="N31" s="23"/>
    </row>
    <row r="32" spans="1:14" x14ac:dyDescent="0.3">
      <c r="A32" s="23"/>
      <c r="B32" s="23"/>
      <c r="C32" s="23"/>
      <c r="D32" s="23"/>
      <c r="E32" s="23"/>
      <c r="F32" s="23"/>
      <c r="G32" s="23"/>
      <c r="H32" s="23"/>
      <c r="I32" s="23"/>
      <c r="J32" s="23"/>
      <c r="K32" s="23"/>
      <c r="L32" s="23"/>
      <c r="M32" s="23"/>
      <c r="N32" s="23"/>
    </row>
    <row r="33" spans="1:14" ht="17.25" customHeight="1" x14ac:dyDescent="0.3">
      <c r="A33" s="23"/>
      <c r="B33" s="30" t="s">
        <v>220</v>
      </c>
      <c r="C33" s="23"/>
      <c r="D33" s="23"/>
      <c r="E33" s="29">
        <f>E31</f>
        <v>2</v>
      </c>
      <c r="F33" s="29">
        <f>F31</f>
        <v>4</v>
      </c>
      <c r="G33" s="28">
        <f>SUM(G20:G31)</f>
        <v>8600000</v>
      </c>
      <c r="H33" s="28">
        <f>SUM(H20:H31)</f>
        <v>5060000</v>
      </c>
      <c r="I33" s="28">
        <f>SUM(I20:I31)</f>
        <v>13660000</v>
      </c>
      <c r="J33" s="23"/>
      <c r="K33" s="23"/>
      <c r="L33" s="23"/>
      <c r="M33" s="23"/>
      <c r="N33" s="23"/>
    </row>
    <row r="34" spans="1:14" ht="43.5" customHeight="1" x14ac:dyDescent="0.3">
      <c r="A34" s="23"/>
      <c r="B34" s="31"/>
      <c r="C34" s="23"/>
      <c r="D34" s="23"/>
      <c r="E34" s="23"/>
      <c r="F34" s="23"/>
      <c r="G34" s="23"/>
      <c r="H34" s="23"/>
      <c r="I34" s="23"/>
      <c r="J34" s="23"/>
      <c r="K34" s="23"/>
      <c r="L34" s="23"/>
      <c r="M34" s="23"/>
      <c r="N34" s="23"/>
    </row>
    <row r="35" spans="1:14" x14ac:dyDescent="0.3">
      <c r="A35" s="23"/>
      <c r="B35" s="23"/>
      <c r="C35" s="23"/>
      <c r="D35" s="23"/>
      <c r="E35" s="23"/>
      <c r="F35" s="23"/>
      <c r="G35" s="23"/>
      <c r="H35" s="23"/>
      <c r="I35" s="23"/>
      <c r="J35" s="23"/>
      <c r="K35" s="23"/>
      <c r="L35" s="23"/>
      <c r="M35" s="23"/>
      <c r="N35" s="23"/>
    </row>
    <row r="36" spans="1:14" ht="17.399999999999999" x14ac:dyDescent="0.35">
      <c r="A36" s="23"/>
      <c r="B36" s="4" t="s">
        <v>221</v>
      </c>
      <c r="C36" s="23"/>
      <c r="D36" s="23"/>
      <c r="E36" s="23"/>
      <c r="F36" s="23"/>
      <c r="G36" s="23"/>
      <c r="H36" s="23"/>
      <c r="I36" s="23"/>
      <c r="J36" s="23"/>
      <c r="K36" s="23"/>
      <c r="L36" s="23"/>
      <c r="M36" s="23"/>
      <c r="N36" s="23"/>
    </row>
    <row r="37" spans="1:14" ht="99.75" customHeight="1" x14ac:dyDescent="0.3">
      <c r="A37" s="23"/>
      <c r="B37" s="41" t="s">
        <v>222</v>
      </c>
      <c r="C37" s="41"/>
      <c r="D37" s="41"/>
      <c r="E37" s="41"/>
      <c r="F37" s="41"/>
      <c r="G37" s="41"/>
      <c r="H37" s="41"/>
      <c r="I37" s="41"/>
      <c r="J37" s="41"/>
      <c r="K37" s="23"/>
      <c r="L37" s="23"/>
      <c r="M37" s="23"/>
      <c r="N37" s="23"/>
    </row>
    <row r="38" spans="1:14" x14ac:dyDescent="0.3">
      <c r="A38" s="23"/>
      <c r="B38" s="23"/>
      <c r="C38" s="23"/>
      <c r="D38" s="23"/>
      <c r="E38" s="23"/>
      <c r="F38" s="23"/>
      <c r="G38" s="23"/>
      <c r="H38" s="23"/>
      <c r="I38" s="23"/>
      <c r="J38" s="23"/>
      <c r="K38" s="23"/>
      <c r="L38" s="23"/>
      <c r="M38" s="23"/>
      <c r="N38" s="23"/>
    </row>
    <row r="39" spans="1:14" ht="72" x14ac:dyDescent="0.3">
      <c r="A39" s="23"/>
      <c r="B39" s="26" t="s">
        <v>223</v>
      </c>
      <c r="C39" s="26" t="s">
        <v>224</v>
      </c>
      <c r="D39" s="23"/>
      <c r="E39" s="23"/>
      <c r="F39" s="23"/>
      <c r="G39" s="23"/>
      <c r="H39" s="23"/>
      <c r="I39" s="23"/>
      <c r="J39" s="23"/>
      <c r="K39" s="23"/>
      <c r="L39" s="23"/>
      <c r="M39" s="23"/>
      <c r="N39" s="23"/>
    </row>
    <row r="40" spans="1:14" x14ac:dyDescent="0.3">
      <c r="A40" s="23"/>
      <c r="B40" s="32">
        <v>4</v>
      </c>
      <c r="C40" s="28">
        <v>17240000</v>
      </c>
      <c r="D40" s="23"/>
      <c r="E40" s="23"/>
      <c r="F40" s="23"/>
      <c r="G40" s="23"/>
      <c r="H40" s="23"/>
      <c r="I40" s="23"/>
      <c r="J40" s="23"/>
      <c r="K40" s="23"/>
      <c r="L40" s="23"/>
      <c r="M40" s="23"/>
      <c r="N40" s="23"/>
    </row>
    <row r="41" spans="1:14" x14ac:dyDescent="0.3">
      <c r="B41" s="32">
        <v>6</v>
      </c>
      <c r="C41" s="33">
        <v>13660000</v>
      </c>
    </row>
    <row r="42" spans="1:14" x14ac:dyDescent="0.3">
      <c r="B42" s="32">
        <v>8</v>
      </c>
      <c r="C42" s="33">
        <v>13300000</v>
      </c>
    </row>
    <row r="43" spans="1:14" x14ac:dyDescent="0.3">
      <c r="B43" s="32">
        <v>12</v>
      </c>
      <c r="C43" s="33">
        <v>10080000</v>
      </c>
    </row>
  </sheetData>
  <mergeCells count="12">
    <mergeCell ref="B3:L3"/>
    <mergeCell ref="B4:L4"/>
    <mergeCell ref="B7:D7"/>
    <mergeCell ref="B8:D8"/>
    <mergeCell ref="B9:D9"/>
    <mergeCell ref="B15:L15"/>
    <mergeCell ref="B37:J37"/>
    <mergeCell ref="B10:D10"/>
    <mergeCell ref="B11:D11"/>
    <mergeCell ref="B12:D12"/>
    <mergeCell ref="B13:D13"/>
    <mergeCell ref="B14:D14"/>
  </mergeCells>
  <pageMargins left="0.75" right="0.75" top="1" bottom="1" header="0.511811023622047" footer="0.511811023622047"/>
  <pageSetup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C31"/>
  <sheetViews>
    <sheetView topLeftCell="A4" zoomScaleNormal="100" workbookViewId="0"/>
  </sheetViews>
  <sheetFormatPr defaultColWidth="8.6640625" defaultRowHeight="14.4" x14ac:dyDescent="0.3"/>
  <cols>
    <col min="1" max="1" width="3" customWidth="1"/>
    <col min="2" max="2" width="4" customWidth="1"/>
    <col min="3" max="3" width="92" customWidth="1"/>
  </cols>
  <sheetData>
    <row r="2" spans="2:3" ht="23.25" customHeight="1" x14ac:dyDescent="0.45">
      <c r="B2" s="7" t="s">
        <v>225</v>
      </c>
    </row>
    <row r="3" spans="2:3" ht="27.75" customHeight="1" x14ac:dyDescent="0.3">
      <c r="B3" s="36" t="s">
        <v>226</v>
      </c>
      <c r="C3" s="36"/>
    </row>
    <row r="5" spans="2:3" ht="17.25" customHeight="1" x14ac:dyDescent="0.35">
      <c r="B5" s="40" t="s">
        <v>227</v>
      </c>
      <c r="C5" s="40"/>
    </row>
    <row r="6" spans="2:3" ht="30" customHeight="1" x14ac:dyDescent="0.3">
      <c r="B6" s="10" t="s">
        <v>228</v>
      </c>
      <c r="C6" s="6" t="s">
        <v>229</v>
      </c>
    </row>
    <row r="7" spans="2:3" ht="30" customHeight="1" x14ac:dyDescent="0.3">
      <c r="B7" s="10" t="s">
        <v>230</v>
      </c>
      <c r="C7" s="6" t="s">
        <v>231</v>
      </c>
    </row>
    <row r="8" spans="2:3" ht="30" customHeight="1" x14ac:dyDescent="0.3">
      <c r="B8" s="10" t="s">
        <v>232</v>
      </c>
      <c r="C8" s="6" t="s">
        <v>233</v>
      </c>
    </row>
    <row r="9" spans="2:3" ht="30" customHeight="1" x14ac:dyDescent="0.3">
      <c r="B9" s="10" t="s">
        <v>234</v>
      </c>
      <c r="C9" s="6" t="s">
        <v>235</v>
      </c>
    </row>
    <row r="10" spans="2:3" ht="30" customHeight="1" x14ac:dyDescent="0.3">
      <c r="B10" s="10" t="s">
        <v>236</v>
      </c>
      <c r="C10" s="6" t="s">
        <v>237</v>
      </c>
    </row>
    <row r="11" spans="2:3" ht="30" customHeight="1" x14ac:dyDescent="0.3">
      <c r="B11" s="10" t="s">
        <v>238</v>
      </c>
      <c r="C11" s="6" t="s">
        <v>239</v>
      </c>
    </row>
    <row r="13" spans="2:3" ht="17.25" customHeight="1" x14ac:dyDescent="0.35">
      <c r="B13" s="40" t="s">
        <v>240</v>
      </c>
      <c r="C13" s="40"/>
    </row>
    <row r="14" spans="2:3" ht="30" customHeight="1" x14ac:dyDescent="0.3">
      <c r="B14" s="10" t="s">
        <v>228</v>
      </c>
      <c r="C14" s="6" t="s">
        <v>241</v>
      </c>
    </row>
    <row r="15" spans="2:3" ht="30" customHeight="1" x14ac:dyDescent="0.3">
      <c r="B15" s="10" t="s">
        <v>230</v>
      </c>
      <c r="C15" s="6" t="s">
        <v>242</v>
      </c>
    </row>
    <row r="16" spans="2:3" ht="30" customHeight="1" x14ac:dyDescent="0.3">
      <c r="B16" s="10" t="s">
        <v>232</v>
      </c>
      <c r="C16" s="6" t="s">
        <v>243</v>
      </c>
    </row>
    <row r="17" spans="2:3" ht="30" customHeight="1" x14ac:dyDescent="0.3">
      <c r="B17" s="10" t="s">
        <v>234</v>
      </c>
      <c r="C17" s="6" t="s">
        <v>244</v>
      </c>
    </row>
    <row r="18" spans="2:3" ht="30" customHeight="1" x14ac:dyDescent="0.3">
      <c r="B18" s="10" t="s">
        <v>236</v>
      </c>
      <c r="C18" s="6" t="s">
        <v>245</v>
      </c>
    </row>
    <row r="20" spans="2:3" ht="17.25" customHeight="1" x14ac:dyDescent="0.35">
      <c r="B20" s="40" t="s">
        <v>246</v>
      </c>
      <c r="C20" s="40"/>
    </row>
    <row r="21" spans="2:3" ht="30" customHeight="1" x14ac:dyDescent="0.3">
      <c r="B21" s="10" t="s">
        <v>228</v>
      </c>
      <c r="C21" s="6" t="s">
        <v>229</v>
      </c>
    </row>
    <row r="22" spans="2:3" ht="30" customHeight="1" x14ac:dyDescent="0.3">
      <c r="B22" s="10" t="s">
        <v>230</v>
      </c>
      <c r="C22" s="6" t="s">
        <v>242</v>
      </c>
    </row>
    <row r="23" spans="2:3" ht="30" customHeight="1" x14ac:dyDescent="0.3">
      <c r="B23" s="10" t="s">
        <v>232</v>
      </c>
      <c r="C23" s="6" t="s">
        <v>247</v>
      </c>
    </row>
    <row r="24" spans="2:3" ht="30" customHeight="1" x14ac:dyDescent="0.3">
      <c r="B24" s="10" t="s">
        <v>234</v>
      </c>
      <c r="C24" s="6" t="s">
        <v>248</v>
      </c>
    </row>
    <row r="25" spans="2:3" ht="30" customHeight="1" x14ac:dyDescent="0.3">
      <c r="B25" s="10" t="s">
        <v>236</v>
      </c>
      <c r="C25" s="6" t="s">
        <v>249</v>
      </c>
    </row>
    <row r="27" spans="2:3" ht="17.25" customHeight="1" x14ac:dyDescent="0.35">
      <c r="B27" s="40" t="s">
        <v>250</v>
      </c>
      <c r="C27" s="40"/>
    </row>
    <row r="28" spans="2:3" ht="30" customHeight="1" x14ac:dyDescent="0.3">
      <c r="B28" s="10" t="s">
        <v>228</v>
      </c>
      <c r="C28" s="6" t="s">
        <v>251</v>
      </c>
    </row>
    <row r="29" spans="2:3" ht="30" customHeight="1" x14ac:dyDescent="0.3">
      <c r="B29" s="10" t="s">
        <v>230</v>
      </c>
      <c r="C29" s="6" t="s">
        <v>242</v>
      </c>
    </row>
    <row r="30" spans="2:3" ht="30" customHeight="1" x14ac:dyDescent="0.3">
      <c r="B30" s="10" t="s">
        <v>232</v>
      </c>
      <c r="C30" s="6" t="s">
        <v>252</v>
      </c>
    </row>
    <row r="31" spans="2:3" ht="30" customHeight="1" x14ac:dyDescent="0.3">
      <c r="B31" s="10" t="s">
        <v>234</v>
      </c>
      <c r="C31" s="6" t="s">
        <v>253</v>
      </c>
    </row>
  </sheetData>
  <mergeCells count="5">
    <mergeCell ref="B3:C3"/>
    <mergeCell ref="B5:C5"/>
    <mergeCell ref="B13:C13"/>
    <mergeCell ref="B20:C20"/>
    <mergeCell ref="B27:C27"/>
  </mergeCells>
  <pageMargins left="0.75" right="0.75" top="1" bottom="1" header="0.511811023622047" footer="0.511811023622047"/>
  <pageSetup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B18"/>
  <sheetViews>
    <sheetView topLeftCell="A7" zoomScaleNormal="100" workbookViewId="0">
      <selection activeCell="F10" sqref="F10"/>
    </sheetView>
  </sheetViews>
  <sheetFormatPr defaultColWidth="8.6640625" defaultRowHeight="14.4" x14ac:dyDescent="0.3"/>
  <cols>
    <col min="1" max="1" width="3" customWidth="1"/>
    <col min="2" max="2" width="90" customWidth="1"/>
  </cols>
  <sheetData>
    <row r="2" spans="2:2" ht="23.25" customHeight="1" x14ac:dyDescent="0.45">
      <c r="B2" s="7" t="s">
        <v>254</v>
      </c>
    </row>
    <row r="3" spans="2:2" ht="30" customHeight="1" x14ac:dyDescent="0.3">
      <c r="B3" s="3" t="s">
        <v>255</v>
      </c>
    </row>
    <row r="5" spans="2:2" ht="33.75" customHeight="1" x14ac:dyDescent="0.3">
      <c r="B5" s="34" t="s">
        <v>256</v>
      </c>
    </row>
    <row r="6" spans="2:2" ht="69.75" customHeight="1" x14ac:dyDescent="0.3">
      <c r="B6" s="35" t="s">
        <v>257</v>
      </c>
    </row>
    <row r="8" spans="2:2" ht="33.75" customHeight="1" x14ac:dyDescent="0.3">
      <c r="B8" s="34" t="s">
        <v>258</v>
      </c>
    </row>
    <row r="9" spans="2:2" ht="72.75" customHeight="1" x14ac:dyDescent="0.3">
      <c r="B9" s="35" t="s">
        <v>259</v>
      </c>
    </row>
    <row r="11" spans="2:2" ht="33.75" customHeight="1" x14ac:dyDescent="0.3">
      <c r="B11" s="34" t="s">
        <v>260</v>
      </c>
    </row>
    <row r="12" spans="2:2" ht="114.75" customHeight="1" x14ac:dyDescent="0.3">
      <c r="B12" s="35" t="s">
        <v>261</v>
      </c>
    </row>
    <row r="14" spans="2:2" ht="33.75" customHeight="1" x14ac:dyDescent="0.3">
      <c r="B14" s="34" t="s">
        <v>262</v>
      </c>
    </row>
    <row r="15" spans="2:2" ht="88.5" customHeight="1" x14ac:dyDescent="0.3">
      <c r="B15" s="35" t="s">
        <v>263</v>
      </c>
    </row>
    <row r="17" spans="2:2" ht="33.75" customHeight="1" x14ac:dyDescent="0.3">
      <c r="B17" s="34" t="s">
        <v>264</v>
      </c>
    </row>
    <row r="18" spans="2:2" ht="159.75" customHeight="1" x14ac:dyDescent="0.3">
      <c r="B18" s="35" t="s">
        <v>265</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 Me</vt:lpstr>
      <vt:lpstr>Data_Dictionary</vt:lpstr>
      <vt:lpstr>Pivot1</vt:lpstr>
      <vt:lpstr>Pivot2</vt:lpstr>
      <vt:lpstr>Pivot3</vt:lpstr>
      <vt:lpstr>Pivot4</vt:lpstr>
      <vt:lpstr>Raw_Transactions</vt:lpstr>
      <vt:lpstr>Raw_Customers</vt:lpstr>
      <vt:lpstr>Raw_Offers</vt:lpstr>
      <vt:lpstr>Data_Quality_QA</vt:lpstr>
      <vt:lpstr>Customer_Lookup</vt:lpstr>
      <vt:lpstr>Conversion_Funnel</vt:lpstr>
      <vt:lpstr>Revenue_Model</vt:lpstr>
      <vt:lpstr>PivotTable_Tasks</vt:lpstr>
      <vt:lpstr>Key_Insights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Tankhun Luengchaicharn</cp:lastModifiedBy>
  <cp:revision>0</cp:revision>
  <dcterms:created xsi:type="dcterms:W3CDTF">2026-09-12T15:22:39Z</dcterms:created>
  <dcterms:modified xsi:type="dcterms:W3CDTF">2026-09-23T17:33:01Z</dcterms:modified>
  <dc:language>en-US</dc:language>
</cp:coreProperties>
</file>
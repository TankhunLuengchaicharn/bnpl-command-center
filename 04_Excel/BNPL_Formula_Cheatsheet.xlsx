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0" autoFilterDateGrouping="1"/>
  </bookViews>
  <sheets>
    <sheet xmlns:r="http://schemas.openxmlformats.org/officeDocument/2006/relationships" name="Formula_Cheatsheet" sheetId="1" state="visible" r:id="rId1"/>
    <sheet xmlns:r="http://schemas.openxmlformats.org/officeDocument/2006/relationships" name="Revenue_Model_Math_TH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24">
    <font>
      <name val="Calibri"/>
      <charset val="1"/>
      <family val="2"/>
      <color theme="1"/>
      <sz val="11"/>
    </font>
    <font>
      <name val="Arial"/>
      <charset val="1"/>
      <b val="1"/>
      <color rgb="FF1F3864"/>
      <sz val="18"/>
    </font>
    <font>
      <name val="Arial"/>
      <charset val="1"/>
      <i val="1"/>
      <color rgb="FF595959"/>
      <sz val="11"/>
    </font>
    <font>
      <name val="Arial"/>
      <charset val="1"/>
      <b val="1"/>
      <color rgb="FFFFFFFF"/>
      <sz val="10.5"/>
    </font>
    <font>
      <name val="Arial"/>
      <charset val="1"/>
      <sz val="10.5"/>
    </font>
    <font>
      <name val="Arial"/>
      <charset val="1"/>
      <b val="1"/>
      <sz val="10.5"/>
    </font>
    <font>
      <name val="Arial"/>
      <charset val="1"/>
      <color rgb="FF7030A0"/>
      <sz val="10.5"/>
    </font>
    <font>
      <name val="Arial"/>
      <charset val="1"/>
      <b val="1"/>
      <color rgb="FF006100"/>
      <sz val="10.5"/>
    </font>
    <font>
      <name val="Arial"/>
      <charset val="1"/>
      <color rgb="FFC00000"/>
      <sz val="10.5"/>
    </font>
    <font>
      <name val="Arial"/>
      <charset val="1"/>
      <b val="1"/>
      <color rgb="FFFFFFFF"/>
      <sz val="13"/>
    </font>
    <font>
      <name val="Arial"/>
      <charset val="1"/>
      <color rgb="FF0000FF"/>
      <sz val="10.5"/>
    </font>
    <font/>
    <font>
      <name val="Arial"/>
      <b val="1"/>
      <color rgb="FF1F3864"/>
      <sz val="18"/>
    </font>
    <font>
      <name val="Arial"/>
      <color rgb="FF595959"/>
      <sz val="11"/>
    </font>
    <font>
      <name val="Arial"/>
      <i val="1"/>
      <color rgb="FF1F3864"/>
      <sz val="10"/>
    </font>
    <font>
      <name val="Arial"/>
      <b val="1"/>
      <color rgb="FFFFFFFF"/>
      <sz val="10.5"/>
    </font>
    <font>
      <name val="Arial"/>
      <b val="1"/>
      <color rgb="FFFFFFFF"/>
      <sz val="12"/>
    </font>
    <font>
      <name val="Arial"/>
      <sz val="10.5"/>
    </font>
    <font>
      <name val="Arial"/>
      <b val="1"/>
      <sz val="10.5"/>
    </font>
    <font>
      <name val="Arial"/>
      <color rgb="FF7030A0"/>
      <sz val="10.5"/>
    </font>
    <font>
      <name val="Arial"/>
      <b val="1"/>
      <color rgb="FF006100"/>
      <sz val="10.5"/>
    </font>
    <font>
      <name val="Arial"/>
      <color rgb="FFC00000"/>
      <sz val="10.5"/>
    </font>
    <font>
      <name val="Arial"/>
      <b val="1"/>
      <color rgb="FFFFFFFF"/>
      <sz val="13"/>
    </font>
    <font>
      <name val="Arial"/>
      <color rgb="FF0000FF"/>
      <sz val="10.5"/>
    </font>
  </fonts>
  <fills count="1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2E5395"/>
        <bgColor rgb="FF1F3864"/>
      </patternFill>
    </fill>
    <fill>
      <patternFill patternType="solid">
        <fgColor rgb="FFFFF2CC"/>
        <bgColor rgb="FFF2F2F2"/>
      </patternFill>
    </fill>
    <fill>
      <patternFill patternType="solid">
        <fgColor rgb="FFDCE6F1"/>
      </patternFill>
    </fill>
    <fill>
      <patternFill patternType="solid">
        <fgColor rgb="FF1F3864"/>
      </patternFill>
    </fill>
    <fill>
      <patternFill patternType="solid">
        <fgColor rgb="FF2E5395"/>
      </patternFill>
    </fill>
    <fill>
      <patternFill patternType="solid">
        <fgColor rgb="FFE2EFDA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9" fillId="5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5" fillId="0" borderId="0" pivotButton="0" quotePrefix="0" xfId="0"/>
    <xf numFmtId="0" fontId="3" fillId="2" borderId="1" pivotButton="0" quotePrefix="0" xfId="0"/>
    <xf numFmtId="0" fontId="10" fillId="6" borderId="0" pivotButton="0" quotePrefix="0" xfId="0"/>
    <xf numFmtId="164" fontId="10" fillId="6" borderId="0" pivotButton="0" quotePrefix="0" xfId="0"/>
    <xf numFmtId="0" fontId="10" fillId="6" borderId="1" pivotButton="0" quotePrefix="0" xfId="0"/>
    <xf numFmtId="0" fontId="4" fillId="0" borderId="0" pivotButton="0" quotePrefix="0" xfId="0"/>
    <xf numFmtId="165" fontId="7" fillId="3" borderId="0" pivotButton="0" quotePrefix="0" xfId="0"/>
    <xf numFmtId="0" fontId="10" fillId="0" borderId="1" pivotButton="0" quotePrefix="0" xfId="0"/>
    <xf numFmtId="164" fontId="10" fillId="6" borderId="1" pivotButton="0" quotePrefix="0" xfId="0"/>
    <xf numFmtId="0" fontId="0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165" fontId="7" fillId="3" borderId="1" applyAlignment="1" pivotButton="0" quotePrefix="0" xfId="0">
      <alignment horizontal="right" vertical="center"/>
    </xf>
    <xf numFmtId="9" fontId="10" fillId="6" borderId="1" pivotButton="0" quotePrefix="0" xfId="0"/>
    <xf numFmtId="4" fontId="10" fillId="6" borderId="1" pivotButton="0" quotePrefix="0" xfId="0"/>
    <xf numFmtId="4" fontId="7" fillId="3" borderId="1" pivotButton="0" quotePrefix="0" xfId="0"/>
    <xf numFmtId="164" fontId="7" fillId="3" borderId="1" pivotButton="0" quotePrefix="0" xfId="0"/>
    <xf numFmtId="0" fontId="12" fillId="0" borderId="2" pivotButton="0" quotePrefix="0" xfId="0"/>
    <xf numFmtId="0" fontId="11" fillId="0" borderId="2" pivotButton="0" quotePrefix="0" xfId="0"/>
    <xf numFmtId="0" fontId="13" fillId="0" borderId="2" applyAlignment="1" pivotButton="0" quotePrefix="0" xfId="0">
      <alignment vertical="top" wrapText="1"/>
    </xf>
    <xf numFmtId="0" fontId="14" fillId="7" borderId="2" applyAlignment="1" pivotButton="0" quotePrefix="0" xfId="0">
      <alignment vertical="center"/>
    </xf>
    <xf numFmtId="0" fontId="15" fillId="8" borderId="3" applyAlignment="1" pivotButton="0" quotePrefix="0" xfId="0">
      <alignment horizontal="center" vertical="center"/>
    </xf>
    <xf numFmtId="0" fontId="15" fillId="8" borderId="3" applyAlignment="1" pivotButton="0" quotePrefix="0" xfId="0">
      <alignment vertical="top" wrapText="1"/>
    </xf>
    <xf numFmtId="0" fontId="16" fillId="9" borderId="2" applyAlignment="1" pivotButton="0" quotePrefix="0" xfId="0">
      <alignment vertical="center"/>
    </xf>
    <xf numFmtId="0" fontId="17" fillId="0" borderId="3" applyAlignment="1" pivotButton="0" quotePrefix="0" xfId="0">
      <alignment horizontal="center" vertical="center"/>
    </xf>
    <xf numFmtId="0" fontId="18" fillId="0" borderId="3" applyAlignment="1" pivotButton="0" quotePrefix="0" xfId="0">
      <alignment vertical="top" wrapText="1"/>
    </xf>
    <xf numFmtId="0" fontId="17" fillId="0" borderId="3" applyAlignment="1" pivotButton="0" quotePrefix="0" xfId="0">
      <alignment vertical="top" wrapText="1"/>
    </xf>
    <xf numFmtId="0" fontId="19" fillId="0" borderId="3" applyAlignment="1" pivotButton="0" quotePrefix="0" xfId="0">
      <alignment vertical="top" wrapText="1"/>
    </xf>
    <xf numFmtId="0" fontId="20" fillId="10" borderId="3" applyAlignment="1" pivotButton="0" quotePrefix="0" xfId="0">
      <alignment horizontal="center" vertical="center"/>
    </xf>
    <xf numFmtId="0" fontId="21" fillId="0" borderId="3" applyAlignment="1" pivotButton="0" quotePrefix="0" xfId="0">
      <alignment vertical="top" wrapText="1"/>
    </xf>
    <xf numFmtId="164" fontId="20" fillId="10" borderId="3" applyAlignment="1" pivotButton="0" quotePrefix="0" xfId="0">
      <alignment horizontal="center" vertical="center"/>
    </xf>
    <xf numFmtId="0" fontId="20" fillId="10" borderId="3" applyAlignment="1" pivotButton="0" quotePrefix="0" xfId="0">
      <alignment vertical="top" wrapText="1"/>
    </xf>
    <xf numFmtId="0" fontId="22" fillId="9" borderId="2" applyAlignment="1" pivotButton="0" quotePrefix="0" xfId="0">
      <alignment vertical="center"/>
    </xf>
    <xf numFmtId="0" fontId="18" fillId="0" borderId="2" pivotButton="0" quotePrefix="0" xfId="0"/>
    <xf numFmtId="0" fontId="15" fillId="8" borderId="3" pivotButton="0" quotePrefix="0" xfId="0"/>
    <xf numFmtId="0" fontId="23" fillId="11" borderId="2" pivotButton="0" quotePrefix="0" xfId="0"/>
    <xf numFmtId="164" fontId="23" fillId="11" borderId="2" pivotButton="0" quotePrefix="0" xfId="0"/>
    <xf numFmtId="0" fontId="23" fillId="11" borderId="3" pivotButton="0" quotePrefix="0" xfId="0"/>
    <xf numFmtId="0" fontId="23" fillId="0" borderId="2" pivotButton="0" quotePrefix="0" xfId="0"/>
    <xf numFmtId="165" fontId="20" fillId="10" borderId="2" pivotButton="0" quotePrefix="0" xfId="0"/>
    <xf numFmtId="0" fontId="14" fillId="7" borderId="2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0"/>
  <sheetViews>
    <sheetView tabSelected="1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4" customWidth="1" min="1" max="1"/>
    <col width="22" customWidth="1" min="2" max="2"/>
    <col width="34" customWidth="1" min="3" max="4"/>
    <col width="30" customWidth="1" min="4" max="4"/>
    <col width="26" customWidth="1" min="5" max="5"/>
    <col width="30" customWidth="1" min="6" max="6"/>
    <col width="14" customWidth="1" min="7" max="7"/>
    <col width="34" customWidth="1" min="8" max="8"/>
    <col width="12" customWidth="1" min="13" max="13"/>
    <col width="13" customWidth="1" min="14" max="14"/>
    <col width="12" customWidth="1" min="15" max="15"/>
    <col width="3" customWidth="1" min="16" max="16"/>
    <col width="12" customWidth="1" min="17" max="17"/>
    <col width="15" customWidth="1" min="18" max="18"/>
    <col width="16" customWidth="1" min="19" max="19"/>
    <col width="3" customWidth="1" min="20" max="20"/>
    <col width="16" customWidth="1" min="21" max="21"/>
    <col width="10" customWidth="1" min="22" max="22"/>
  </cols>
  <sheetData>
    <row r="1" ht="27.75" customHeight="1">
      <c r="A1" s="36" t="inlineStr">
        <is>
          <t>Excel Formula Cheat Sheet — BNPL Command Center Workbook</t>
        </is>
      </c>
      <c r="I1" s="37" t="n"/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</row>
    <row r="2" ht="30" customHeight="1">
      <c r="A2" s="38" t="inlineStr">
        <is>
          <t>Every formula &amp; technique you learned, with a live worked example — organized into 4 categories so you can find what you need fast. สรุปสูตรทั้งหมดที่เรียน พร้อมตัวอย่างคำนวณจริง จัดหมวดหมู่ให้หาง่ายเวลากลับมาดูทีหลัง — คอลัมน์ Live Result คำนวณจากข้อมูลตัวอย่างด้านล่างตาราง</t>
        </is>
      </c>
      <c r="I2" s="37" t="n"/>
      <c r="J2" s="37" t="n"/>
      <c r="K2" s="37" t="n"/>
      <c r="L2" s="37" t="n"/>
      <c r="M2" s="37" t="n"/>
      <c r="N2" s="37" t="n"/>
      <c r="O2" s="37" t="n"/>
      <c r="P2" s="37" t="n"/>
      <c r="Q2" s="37" t="n"/>
      <c r="R2" s="37" t="n"/>
      <c r="S2" s="37" t="n"/>
      <c r="T2" s="37" t="n"/>
      <c r="U2" s="37" t="n"/>
      <c r="V2" s="37" t="n"/>
    </row>
    <row r="3" ht="32" customHeight="1">
      <c r="A3" s="59" t="inlineStr">
        <is>
          <t>💡 Quick guide — jump to the category that matches your task: 🔎 Data Quality (ตรวจสอบข้อมูลก่อนเชื่อผลลัพธ์)  →  🔗 Lookups (ค้นหาค่าข้ามคอลัมน์/ตาราง)  →  🔢 References &amp; Percentages (ล็อคเซลล์ / เทียบตัวเลข)  →  📊 PivotTables (สรุปข้อมูลก้อนใหญ่)</t>
        </is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</row>
    <row r="4" ht="30" customHeight="1">
      <c r="A4" s="40" t="inlineStr">
        <is>
          <t>#</t>
        </is>
      </c>
      <c r="B4" s="41" t="inlineStr">
        <is>
          <t>Function / Technique</t>
        </is>
      </c>
      <c r="C4" s="41" t="inlineStr">
        <is>
          <t>What It Does</t>
        </is>
      </c>
      <c r="D4" s="41" t="inlineStr">
        <is>
          <t>ภาษาไทย (Thai)</t>
        </is>
      </c>
      <c r="E4" s="41" t="inlineStr">
        <is>
          <t>Generic Syntax</t>
        </is>
      </c>
      <c r="F4" s="41" t="inlineStr">
        <is>
          <t>Example Formula
(type it starting with =)</t>
        </is>
      </c>
      <c r="G4" s="41" t="inlineStr">
        <is>
          <t>Live
Result</t>
        </is>
      </c>
      <c r="H4" s="41" t="inlineStr">
        <is>
          <t>Common Mistake to Avoid</t>
        </is>
      </c>
      <c r="I4" s="37" t="n"/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</row>
    <row r="5" ht="24" customHeight="1">
      <c r="A5" s="42" t="inlineStr">
        <is>
          <t>🔎  CATEGORY 1 — Data Quality &amp; Validation  ·  ตรวจสอบข้อมูลก่อนเชื่อผลลัพธ์</t>
        </is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</row>
    <row r="6" ht="57.75" customHeight="1">
      <c r="A6" s="43" t="n">
        <v>1</v>
      </c>
      <c r="B6" s="44" t="inlineStr">
        <is>
          <t>COUNTBLANK
(Completeness)</t>
        </is>
      </c>
      <c r="C6" s="45" t="inlineStr">
        <is>
          <t>Counts empty cells in a column — checks whether required fields are missing.</t>
        </is>
      </c>
      <c r="D6" s="46" t="inlineStr">
        <is>
          <t>นับจำนวนช่องว่าง ใช้เช็คว่าข้อมูลที่จำเป็นหายไปหรือไม่</t>
        </is>
      </c>
      <c r="E6" s="45" t="inlineStr">
        <is>
          <t>COUNTBLANK(range)</t>
        </is>
      </c>
      <c r="F6" s="45" t="inlineStr">
        <is>
          <t>COUNTBLANK(N29:N34)</t>
        </is>
      </c>
      <c r="G6" s="47">
        <f>COUNTBLANK(N29:N34)</f>
        <v/>
      </c>
      <c r="H6" s="48" t="inlineStr">
        <is>
          <t>Don't use a whole-column ref like B:B — it counts phantom blank rows all the way to row 1,048,576.</t>
        </is>
      </c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</row>
    <row r="7" ht="57.75" customHeight="1">
      <c r="A7" s="43" t="n">
        <v>2</v>
      </c>
      <c r="B7" s="44" t="inlineStr">
        <is>
          <t>COUNTIF
(Single Condition)</t>
        </is>
      </c>
      <c r="C7" s="45" t="inlineStr">
        <is>
          <t>Counts cells that match one condition.</t>
        </is>
      </c>
      <c r="D7" s="46" t="inlineStr">
        <is>
          <t>นับจำนวนช่องที่ตรงกับเงื่อนไขเดียว</t>
        </is>
      </c>
      <c r="E7" s="45" t="inlineStr">
        <is>
          <t>COUNTIF(range,"criteria")</t>
        </is>
      </c>
      <c r="F7" s="45" t="inlineStr">
        <is>
          <t>COUNTIF(R29:R33,"&lt;0")</t>
        </is>
      </c>
      <c r="G7" s="47">
        <f>COUNTIF(R29:R33,"&lt;0")</f>
        <v/>
      </c>
      <c r="H7" s="48" t="inlineStr">
        <is>
          <t>An operator criteria must be in quotes: "&lt;0", not &lt;0.</t>
        </is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</row>
    <row r="8" ht="57.75" customHeight="1">
      <c r="A8" s="43" t="n">
        <v>3</v>
      </c>
      <c r="B8" s="44" t="inlineStr">
        <is>
          <t>Two COUNTBLANK/COUNTIF
Added (OR across columns)</t>
        </is>
      </c>
      <c r="C8" s="45" t="inlineStr">
        <is>
          <t>COUNTIFS only combines conditions with AND. For "blank in column A OR column B", add two separate calls.</t>
        </is>
      </c>
      <c r="D8" s="46" t="inlineStr">
        <is>
          <t>COUNTIFS รวมเงื่อนไขแบบ AND เท่านั้น ถ้าต้องการ "หรือ" ระหว่าง 2 คอลัมน์ ต้องบวกสองสูตรแยกกัน</t>
        </is>
      </c>
      <c r="E8" s="45" t="inlineStr">
        <is>
          <t>COUNTBLANK(rangeA)+COUNTBLANK(rangeB)</t>
        </is>
      </c>
      <c r="F8" s="45" t="inlineStr">
        <is>
          <t>COUNTBLANK(N29:N34)+COUNTBLANK(O29:O34)</t>
        </is>
      </c>
      <c r="G8" s="47">
        <f>COUNTBLANK(N29:N34)+COUNTBLANK(O29:O34)</f>
        <v/>
      </c>
      <c r="H8" s="48" t="inlineStr">
        <is>
          <t>Writing COUNTBLANK(rangeA,rangeB) — COUNTBLANK only accepts ONE range.</t>
        </is>
      </c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</row>
    <row r="9" ht="57.75" customHeight="1">
      <c r="A9" s="43" t="n">
        <v>4</v>
      </c>
      <c r="B9" s="44" t="inlineStr">
        <is>
          <t>COUNTIFS
(Multiple AND / split-OR)</t>
        </is>
      </c>
      <c r="C9" s="45" t="inlineStr">
        <is>
          <t>Combines conditions with AND. For "outside 300-850" split into two COUNTIFS added together — one value can't be both &lt;300 and &gt;850 at once.</t>
        </is>
      </c>
      <c r="D9" s="46" t="inlineStr">
        <is>
          <t>รวมเงื่อนไขแบบ AND ถ้าต้องการเช็ค "นอกช่วง" ต้องแยกเป็น 2 สูตรแล้วบวกกัน เพราะค่าเดียวเป็นทั้ง &lt;300 และ &gt;850 พร้อมกันไม่ได้</t>
        </is>
      </c>
      <c r="E9" s="45" t="inlineStr">
        <is>
          <t>COUNTIFS(range,"&lt;300")+COUNTIFS(range,"&gt;850")</t>
        </is>
      </c>
      <c r="F9" s="45" t="inlineStr">
        <is>
          <t>COUNTIFS(N29:N34,"&lt;300")+COUNTIFS(N29:N34,"&gt;850")</t>
        </is>
      </c>
      <c r="G9" s="47">
        <f>COUNTIFS(N29:N34,"&lt;300")+COUNTIFS(N29:N34,"&gt;850")</f>
        <v/>
      </c>
      <c r="H9" s="48" t="inlineStr">
        <is>
          <t>Putting both criteria in ONE COUNTIFS call — that asks for a value that is both at once, always returns 0.</t>
        </is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</row>
    <row r="10" ht="57.75" customHeight="1">
      <c r="A10" s="43" t="n">
        <v>5</v>
      </c>
      <c r="B10" s="44" t="inlineStr">
        <is>
          <t>SUMPRODUCT + COUNTIF
(Duplicate Detection)</t>
        </is>
      </c>
      <c r="C10" s="45" t="inlineStr">
        <is>
          <t>Flags values that appear more than once in a column.</t>
        </is>
      </c>
      <c r="D10" s="46" t="inlineStr">
        <is>
          <t>หาค่าที่ซ้ำกันภายในคอลัมน์เดียว</t>
        </is>
      </c>
      <c r="E10" s="45" t="inlineStr">
        <is>
          <t>SUMPRODUCT((COUNTIF(range,range)&gt;1)*1)</t>
        </is>
      </c>
      <c r="F10" s="45" t="inlineStr">
        <is>
          <t>SUMPRODUCT((COUNTIF(M29:M34,M29:M34)&gt;1)*1)</t>
        </is>
      </c>
      <c r="G10" s="47">
        <f>SUMPRODUCT((COUNTIF(M29:M34,M29:M34)&gt;1)*1)</f>
        <v/>
      </c>
      <c r="H10" s="48" t="inlineStr">
        <is>
          <t>This counts every duplicate ROW, not unique duplicate VALUES — 2 rows with the same ID give a result of 2, not 1.</t>
        </is>
      </c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</row>
    <row r="11" ht="57.75" customHeight="1">
      <c r="A11" s="43" t="n">
        <v>6</v>
      </c>
      <c r="B11" s="44" t="inlineStr">
        <is>
          <t>SUMPRODUCT + COUNTIF
(Referential Integrity)</t>
        </is>
      </c>
      <c r="C11" s="45" t="inlineStr">
        <is>
          <t>Finds rows in a "child" table whose key doesn't exist in the "master" table (orphan foreign keys).</t>
        </is>
      </c>
      <c r="D11" s="46" t="inlineStr">
        <is>
          <t>หา row ในตารางลูกที่ไม่มี key อยู่ในตารางแม่ (master)</t>
        </is>
      </c>
      <c r="E11" s="45" t="inlineStr">
        <is>
          <t>SUMPRODUCT((COUNTIF(master_range,child_range)=0)*1)</t>
        </is>
      </c>
      <c r="F11" s="45" t="inlineStr">
        <is>
          <t>SUMPRODUCT((COUNTIF(M29:M34,Q29:Q33)=0)*1)</t>
        </is>
      </c>
      <c r="G11" s="47">
        <f>SUMPRODUCT((COUNTIF(M29:M34,Q29:Q33)=0)*1)</f>
        <v/>
      </c>
      <c r="H11" s="48" t="inlineStr">
        <is>
          <t>Swapping the order — the master/source-of-truth table always goes FIRST (inside COUNTIF's range), the table being checked goes second.</t>
        </is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</row>
    <row r="12" ht="24" customHeight="1">
      <c r="A12" s="42" t="inlineStr">
        <is>
          <t>🔗  CATEGORY 2 — Lookups  ·  ค้นหาค่าข้ามคอลัมน์/ตาราง</t>
        </is>
      </c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</row>
    <row r="13" ht="57.75" customHeight="1">
      <c r="A13" s="43" t="n">
        <v>7</v>
      </c>
      <c r="B13" s="44" t="inlineStr">
        <is>
          <t>INDEX / MATCH
(Lookup)</t>
        </is>
      </c>
      <c r="C13" s="45" t="inlineStr">
        <is>
          <t>Looks up a value in one column based on an exact match in another.</t>
        </is>
      </c>
      <c r="D13" s="46" t="inlineStr">
        <is>
          <t>ค้นหาค่าจากคอลัมน์หนึ่ง โดยอ้างอิงจากอีกคอลัมน์หนึ่ง</t>
        </is>
      </c>
      <c r="E13" s="45" t="inlineStr">
        <is>
          <t>INDEX(column_to_return, MATCH(lookup_value, column_to_search, 0))</t>
        </is>
      </c>
      <c r="F13" s="45" t="inlineStr">
        <is>
          <t>INDEX(O29:O34, MATCH(203, M29:M34, 0))</t>
        </is>
      </c>
      <c r="G13" s="47">
        <f>INDEX(O29:O34,MATCH(203,M29:M34,0))</f>
        <v/>
      </c>
      <c r="H13" s="48" t="inlineStr">
        <is>
          <t>Forgetting the final "0" in MATCH — without it, Excel does an approximate match, not an exact one.</t>
        </is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</row>
    <row r="14" ht="57.75" customHeight="1">
      <c r="A14" s="43" t="n">
        <v>8</v>
      </c>
      <c r="B14" s="44" t="inlineStr">
        <is>
          <t>IFERROR + INDEX/MATCH
(Safe Lookup)</t>
        </is>
      </c>
      <c r="C14" s="45" t="inlineStr">
        <is>
          <t>Wraps a lookup so it shows a friendly message instead of an error when nothing is found.</t>
        </is>
      </c>
      <c r="D14" s="46" t="inlineStr">
        <is>
          <t>ห่อสูตรค้นหาไว้ เพื่อโชว์ข้อความแทน error เวลาหาไม่เจอ</t>
        </is>
      </c>
      <c r="E14" s="45" t="inlineStr">
        <is>
          <t>IFERROR(formula, "fallback text")</t>
        </is>
      </c>
      <c r="F14" s="45" t="inlineStr">
        <is>
          <t>IFERROR(INDEX(O29:O34,MATCH(500,M29:M34,0)),"Not Found")</t>
        </is>
      </c>
      <c r="G14" s="47">
        <f>IFERROR(INDEX(O29:O34,MATCH(500,M29:M34,0)),"Not Found")</f>
        <v/>
      </c>
      <c r="H14" s="48" t="inlineStr">
        <is>
          <t>Wrapping IFERROR around only PART of the formula instead of the whole INDEX/MATCH.</t>
        </is>
      </c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</row>
    <row r="15" ht="57.75" customHeight="1">
      <c r="A15" s="43" t="n">
        <v>9</v>
      </c>
      <c r="B15" s="44" t="inlineStr">
        <is>
          <t>XLOOKUP
(Modern Lookup) — NEW</t>
        </is>
      </c>
      <c r="C15" s="45" t="inlineStr">
        <is>
          <t>The modern one-function replacement for INDEX/MATCH — looks up a value and returns a matching result from another column, searching in EITHER direction (left or right), unlike VLOOKUP which can only look right. This is what you built in Customer_Lookup!F18:F23.</t>
        </is>
      </c>
      <c r="D15" s="46" t="inlineStr">
        <is>
          <t>ฟังก์ชันค้นหาสมัยใหม่ แทน INDEX/MATCH ได้ในฟังก์ชันเดียว ค้นหาได้ทั้งซ้ายและขวาของคอลัมน์ที่ใช้ค้น (ต่างจาก VLOOKUP ที่หาได้แค่ขวาเท่านั้น) — สูตรเดียวกับที่คุณสร้างไว้ใน Customer_Lookup!F18:F23</t>
        </is>
      </c>
      <c r="E15" s="45" t="inlineStr">
        <is>
          <t>XLOOKUP(lookup_value, lookup_array, return_array)</t>
        </is>
      </c>
      <c r="F15" s="45" t="inlineStr">
        <is>
          <t>XLOOKUP(203, M29:M34, O29:O34)</t>
        </is>
      </c>
      <c r="G15" s="47">
        <f>_xlfn.XLOOKUP(203,M29:M34,O29:O34)</f>
        <v/>
      </c>
      <c r="H15" s="48" t="inlineStr">
        <is>
          <t>Swapping lookup_array and return_array order — the column you are SEARCHING goes in the 2nd argument, the column you want returned goes in the 3rd.</t>
        </is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</row>
    <row r="16" ht="57.75" customHeight="1">
      <c r="A16" s="43" t="n">
        <v>10</v>
      </c>
      <c r="B16" s="44" t="inlineStr">
        <is>
          <t>XLOOKUP
(Built-in "Not Found") — NEW</t>
        </is>
      </c>
      <c r="C16" s="45" t="inlineStr">
        <is>
          <t>XLOOKUP has a 4th, optional argument that replaces the need to wrap it in IFERROR (row above) — it returns your own fallback text automatically when nothing matches. Same idea as row 8, in one function instead of two nested ones.</t>
        </is>
      </c>
      <c r="D16" s="46" t="inlineStr">
        <is>
          <t>XLOOKUP มี argument ที่ 4 (ทางเลือก) ที่แทนการห่อด้วย IFERROR ได้เลย — คืนข้อความสำรองอัตโนมัติเมื่อหาไม่เจอ เหมือนแถวที่ 8 แต่ใช้ฟังก์ชันเดียวจบ</t>
        </is>
      </c>
      <c r="E16" s="45" t="inlineStr">
        <is>
          <t>XLOOKUP(lookup_value, lookup_array, return_array, if_not_found)</t>
        </is>
      </c>
      <c r="F16" s="45" t="inlineStr">
        <is>
          <t>XLOOKUP(500, M29:M34, O29:O34, "Not Found")</t>
        </is>
      </c>
      <c r="G16" s="47">
        <f>_xlfn.XLOOKUP(500,M29:M34,O29:O34,"Not Found")</f>
        <v/>
      </c>
      <c r="H16" s="48" t="inlineStr">
        <is>
          <t>The 4th argument must stay in position 4 — putting fallback text as the 2nd or 3rd argument breaks the lookup entirely.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</row>
    <row r="17" ht="57.75" customHeight="1">
      <c r="A17" s="43" t="n">
        <v>11</v>
      </c>
      <c r="B17" s="44" t="inlineStr">
        <is>
          <t>IF + COUNTIF
(Existence Check)</t>
        </is>
      </c>
      <c r="C17" s="45" t="inlineStr">
        <is>
          <t>Returns Yes/No depending on whether a value exists anywhere in a range.</t>
        </is>
      </c>
      <c r="D17" s="46" t="inlineStr">
        <is>
          <t>ตอบ Yes/No ว่าค่านั้นมีอยู่ในช่วงข้อมูลหรือไม่</t>
        </is>
      </c>
      <c r="E17" s="45" t="inlineStr">
        <is>
          <t>IF(COUNTIF(range,value)&gt;0,"Yes","No")</t>
        </is>
      </c>
      <c r="F17" s="45" t="inlineStr">
        <is>
          <t>IF(COUNTIF(M29:M34,204)&gt;0,"Yes","No")</t>
        </is>
      </c>
      <c r="G17" s="47">
        <f>IF(COUNTIF(M29:M34,204)&gt;0,"Yes","No")</f>
        <v/>
      </c>
      <c r="H17" s="48" t="inlineStr">
        <is>
          <t>Putting the condition INSIDE COUNTIF's criteria, e.g. COUNTIF(range,value=0) — this secretly evaluates as TRUE/FALSE first and gives a meaningless number.</t>
        </is>
      </c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</row>
    <row r="18" ht="24" customHeight="1">
      <c r="A18" s="42" t="inlineStr">
        <is>
          <t>🔢  CATEGORY 3 — References, Percentages &amp; Growth  ·  ล็อคเซลล์ / เทียบตัวเลข</t>
        </is>
      </c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</row>
    <row r="19" ht="57.75" customHeight="1">
      <c r="A19" s="43" t="n">
        <v>12</v>
      </c>
      <c r="B19" s="44" t="inlineStr">
        <is>
          <t>Absolute Reference ($)
(Locking a Cell)</t>
        </is>
      </c>
      <c r="C19" s="45" t="inlineStr">
        <is>
          <t>Keeps a specific cell reference fixed when a formula is copied to other cells — essential for chained/compounding formulas.</t>
        </is>
      </c>
      <c r="D19" s="46" t="inlineStr">
        <is>
          <t>ล็อคเซลล์ไม่ให้เปลี่ยนตอนลากสูตรไปเซลล์อื่น ใช้บ่อยกับสูตรทบต้น</t>
        </is>
      </c>
      <c r="E19" s="45" t="inlineStr">
        <is>
          <t>$ColumnRow, e.g. $E$8</t>
        </is>
      </c>
      <c r="F19" s="45" t="inlineStr">
        <is>
          <t>V29*(1+$V$28)   [see Compounding Growth Demo, right]</t>
        </is>
      </c>
      <c r="G19" s="47">
        <f>V29*(1+$V$28)</f>
        <v/>
      </c>
      <c r="H19" s="48" t="inlineStr">
        <is>
          <t>Writing E8$ or $E8$ — the $ goes immediately BEFORE the part being locked: $E$8, never E$8$.</t>
        </is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</row>
    <row r="20" ht="57.75" customHeight="1">
      <c r="A20" s="43" t="n">
        <v>13</v>
      </c>
      <c r="B20" s="44" t="inlineStr">
        <is>
          <t>Percentage / Variance
(Actual vs Expected Gap)</t>
        </is>
      </c>
      <c r="C20" s="45" t="inlineStr">
        <is>
          <t>Measures how far Actual is from Expected, in raw amount and as a %.</t>
        </is>
      </c>
      <c r="D20" s="46" t="inlineStr">
        <is>
          <t>วัดว่าค่าจริงต่างจากค่าที่คาดไว้เท่าไหร่ ทั้งจำนวนเงินและเปอร์เซ็นต์</t>
        </is>
      </c>
      <c r="E20" s="45" t="inlineStr">
        <is>
          <t>Gap = Actual-Expected;  Gap% = Gap/Expected</t>
        </is>
      </c>
      <c r="F20" s="45" t="inlineStr">
        <is>
          <t>(S33-R33)/R33</t>
        </is>
      </c>
      <c r="G20" s="49">
        <f>(S33-R33)/R33</f>
        <v/>
      </c>
      <c r="H20" s="48" t="inlineStr">
        <is>
          <t>Dividing by Actual instead of Expected — the % should always be gap ÷ the ORIGINAL baseline, not the new number.</t>
        </is>
      </c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</row>
    <row r="21" ht="24" customHeight="1">
      <c r="A21" s="42" t="inlineStr">
        <is>
          <t>📊  CATEGORY 4 — PivotTables  ·  สรุปข้อมูลก้อนใหญ่ให้อ่านง่าย</t>
        </is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</row>
    <row r="22" ht="57.75" customHeight="1">
      <c r="A22" s="43" t="n">
        <v>14</v>
      </c>
      <c r="B22" s="44" t="inlineStr">
        <is>
          <t>GETPIVOTDATA
(Pull a value from a PivotTable)</t>
        </is>
      </c>
      <c r="C22" s="45" t="inlineStr">
        <is>
          <t>Fetches one specific number from a PivotTable by field name. Excel auto-generates this when you click a cell inside a pivot while typing a formula.</t>
        </is>
      </c>
      <c r="D22" s="46" t="inlineStr">
        <is>
          <t>ดึงตัวเลขเฉพาะจุดออกจาก PivotTable โดยอ้างอิงชื่อ field (Excel สร้างให้อัตโนมัติ)</t>
        </is>
      </c>
      <c r="E22" s="45" t="inlineStr">
        <is>
          <t>GETPIVOTDATA("Sum of Field",anchor_cell,"RowField","ItemName")</t>
        </is>
      </c>
      <c r="F22" s="45" t="inlineStr">
        <is>
          <t>GETPIVOTDATA("Sum of ActualPaidAmount",$A$4,"Provider",$A6)</t>
        </is>
      </c>
      <c r="G22" s="50" t="inlineStr">
        <is>
          <t>— (needs a real PivotTable; see your PivotTable_Tasks sheets)</t>
        </is>
      </c>
      <c r="H22" s="48" t="inlineStr">
        <is>
          <t>Hardcoding the item name ("TrueMoney Next") makes it un-draggable — replace it with a cell reference (like $A6) pointing to the row label so copying down auto-adjusts.</t>
        </is>
      </c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</row>
    <row r="23" ht="57.75" customHeight="1">
      <c r="A23" s="43" t="n">
        <v>15</v>
      </c>
      <c r="B23" s="44" t="inlineStr">
        <is>
          <t>PivotTable Value Field Settings
(Sum vs Count vs Average)</t>
        </is>
      </c>
      <c r="C23" s="45" t="inlineStr">
        <is>
          <t>Changes how a PivotTable summarizes a field: Sum for money, Count for "how many", Average for rates/percentages.</t>
        </is>
      </c>
      <c r="D23" s="46" t="inlineStr">
        <is>
          <t>เปลี่ยนวิธีสรุปข้อมูลใน PivotTable — Sum สำหรับยอดเงิน, Count สำหรับนับจำนวน, Average สำหรับอัตรา</t>
        </is>
      </c>
      <c r="E23" s="45" t="inlineStr">
        <is>
          <t>Right-click field in Values box → Value Field Settings → choose Sum/Count/Average</t>
        </is>
      </c>
      <c r="F23" s="45" t="inlineStr">
        <is>
          <t>"Sum of CustomerID" → "Count of CustomerID"  |  "Sum of OfferedRatePct" → "Average of OfferedRatePct"</t>
        </is>
      </c>
      <c r="G23" s="50" t="inlineStr">
        <is>
          <t>— (needs a real PivotTable; see your PivotTable_Tasks sheets)</t>
        </is>
      </c>
      <c r="H23" s="48" t="inlineStr">
        <is>
          <t>Leaving an ID-type field on the default "Sum" — summing ID numbers together is meaningless.</t>
        </is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</row>
    <row r="25" ht="21.75" customHeight="1">
      <c r="A25" s="51" t="inlineStr">
        <is>
          <t>Demo Data Used By The Live Examples Above (for reference only — not part of your real workbook)</t>
        </is>
      </c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52" t="inlineStr">
        <is>
          <t>Demo_Customers</t>
        </is>
      </c>
      <c r="N27" s="37" t="n"/>
      <c r="O27" s="37" t="n"/>
      <c r="P27" s="37" t="n"/>
      <c r="Q27" s="52" t="inlineStr">
        <is>
          <t>Demo_Transactions</t>
        </is>
      </c>
      <c r="R27" s="37" t="n"/>
      <c r="S27" s="37" t="n"/>
      <c r="T27" s="37" t="n"/>
      <c r="U27" s="52" t="inlineStr">
        <is>
          <t>Compounding Growth Demo</t>
        </is>
      </c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53" t="inlineStr">
        <is>
          <t>CustomerID</t>
        </is>
      </c>
      <c r="N28" s="53" t="inlineStr">
        <is>
          <t>CreditScore</t>
        </is>
      </c>
      <c r="O28" s="53" t="inlineStr">
        <is>
          <t>FullName</t>
        </is>
      </c>
      <c r="P28" s="37" t="n"/>
      <c r="Q28" s="53" t="inlineStr">
        <is>
          <t>CustomerID</t>
        </is>
      </c>
      <c r="R28" s="53" t="inlineStr">
        <is>
          <t>ExpectedAmount</t>
        </is>
      </c>
      <c r="S28" s="53" t="inlineStr">
        <is>
          <t>ActualPaidAmount</t>
        </is>
      </c>
      <c r="T28" s="37" t="n"/>
      <c r="U28" s="54" t="inlineStr">
        <is>
          <t>Growth Rate</t>
        </is>
      </c>
      <c r="V28" s="55" t="n">
        <v>0.05</v>
      </c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56" t="n">
        <v>201</v>
      </c>
      <c r="N29" s="56" t="n">
        <v>700</v>
      </c>
      <c r="O29" s="56" t="inlineStr">
        <is>
          <t>Somchai</t>
        </is>
      </c>
      <c r="P29" s="37" t="n"/>
      <c r="Q29" s="56" t="n">
        <v>201</v>
      </c>
      <c r="R29" s="56" t="n">
        <v>500</v>
      </c>
      <c r="S29" s="56" t="n">
        <v>500</v>
      </c>
      <c r="T29" s="37" t="n"/>
      <c r="U29" s="57" t="inlineStr">
        <is>
          <t>Month 0 (Baseline)</t>
        </is>
      </c>
      <c r="V29" s="54" t="n">
        <v>12</v>
      </c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56" t="n">
        <v>202</v>
      </c>
      <c r="N30" s="56" t="n"/>
      <c r="O30" s="56" t="inlineStr">
        <is>
          <t>Suda</t>
        </is>
      </c>
      <c r="P30" s="37" t="n"/>
      <c r="Q30" s="56" t="n">
        <v>202</v>
      </c>
      <c r="R30" s="56" t="n">
        <v>300</v>
      </c>
      <c r="S30" s="56" t="n">
        <v>300</v>
      </c>
      <c r="T30" s="37" t="n"/>
      <c r="U30" s="57" t="inlineStr">
        <is>
          <t>Month 1</t>
        </is>
      </c>
      <c r="V30" s="58">
        <f>V29*(1+$V$28)</f>
        <v/>
      </c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56" t="n">
        <v>203</v>
      </c>
      <c r="N31" s="56" t="n">
        <v>900</v>
      </c>
      <c r="O31" s="56" t="inlineStr">
        <is>
          <t>Anong</t>
        </is>
      </c>
      <c r="P31" s="37" t="n"/>
      <c r="Q31" s="56" t="n">
        <v>203</v>
      </c>
      <c r="R31" s="56" t="n">
        <v>-50</v>
      </c>
      <c r="S31" s="56" t="n">
        <v>100</v>
      </c>
      <c r="T31" s="37" t="n"/>
      <c r="U31" s="57" t="inlineStr">
        <is>
          <t>Month 2</t>
        </is>
      </c>
      <c r="V31" s="58">
        <f>V30*(1+$V$28)</f>
        <v/>
      </c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56" t="n">
        <v>204</v>
      </c>
      <c r="N32" s="56" t="n">
        <v>400</v>
      </c>
      <c r="O32" s="56" t="inlineStr">
        <is>
          <t>Niran</t>
        </is>
      </c>
      <c r="P32" s="37" t="n"/>
      <c r="Q32" s="56" t="n">
        <v>999</v>
      </c>
      <c r="R32" s="56" t="n">
        <v>200</v>
      </c>
      <c r="S32" s="56" t="n">
        <v>200</v>
      </c>
      <c r="T32" s="37" t="n"/>
      <c r="U32" s="57" t="inlineStr">
        <is>
          <t>Month 3</t>
        </is>
      </c>
      <c r="V32" s="58">
        <f>V31*(1+$V$28)</f>
        <v/>
      </c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56" t="n">
        <v>205</v>
      </c>
      <c r="N33" s="56" t="n">
        <v>250</v>
      </c>
      <c r="O33" s="56" t="n"/>
      <c r="P33" s="37" t="n"/>
      <c r="Q33" s="56" t="n">
        <v>204</v>
      </c>
      <c r="R33" s="56" t="n">
        <v>150</v>
      </c>
      <c r="S33" s="56" t="n">
        <v>200</v>
      </c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56" t="n">
        <v>201</v>
      </c>
      <c r="N34" s="56" t="n">
        <v>700</v>
      </c>
      <c r="O34" s="56" t="inlineStr">
        <is>
          <t>Somchai</t>
        </is>
      </c>
      <c r="P34" s="37" t="n"/>
      <c r="Q34" s="37" t="n"/>
      <c r="R34" s="37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</row>
  </sheetData>
  <mergeCells count="8">
    <mergeCell ref="A12:H12"/>
    <mergeCell ref="A18:H18"/>
    <mergeCell ref="A1:H1"/>
    <mergeCell ref="A3:H3"/>
    <mergeCell ref="A21:H21"/>
    <mergeCell ref="A25:H25"/>
    <mergeCell ref="A2:H2"/>
    <mergeCell ref="A5:H5"/>
  </mergeCells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46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6640625" defaultRowHeight="14.4"/>
  <cols>
    <col width="3" customWidth="1" min="1" max="1"/>
    <col width="26" customWidth="1" min="2" max="2"/>
    <col width="34" customWidth="1" min="3" max="3"/>
    <col width="26" customWidth="1" min="4" max="4"/>
    <col width="3" customWidth="1" min="5" max="5"/>
    <col width="34" customWidth="1" min="6" max="6"/>
  </cols>
  <sheetData>
    <row r="2" ht="27.75" customHeight="1">
      <c r="B2" s="4" t="inlineStr">
        <is>
          <t>คณิตศาสตร์เบื้องหลัง Revenue Model (คำอธิบายภาษาไทย)</t>
        </is>
      </c>
    </row>
    <row r="3" ht="19.5" customHeight="1">
      <c r="B3" s="3" t="inlineStr">
        <is>
          <t>อธิบายตรรกะของสูตรใน Revenue_Model sheet แบบละเอียด ใช้ทบทวนเวลาลืม</t>
        </is>
      </c>
    </row>
    <row r="5" ht="21.75" customHeight="1">
      <c r="B5" s="2" t="inlineStr">
        <is>
          <t>1. สูตร Compounding Growth (การเติบโตแบบทบต้นรายเดือน)</t>
        </is>
      </c>
    </row>
    <row r="7" ht="75" customHeight="1">
      <c r="B7" s="1" t="inlineStr">
        <is>
          <t>หลักการสำคัญ: เดือนแรก (Month 1) คำนวณจากค่า baseline (เดือน 0) โดยตรง แต่เดือน 2 เป็นต้นไป ต้องอ้างอิงจากค่าที่คำนวณไว้ของ "แถวก่อนหน้า" ไม่ใช่ baseline ซ้ำทุกครั้ง — เพราะเราต้องการให้มันโตทบต้น (เดือนนี้โตจากเดือนที่แล้ว ไม่ใช่โตจากเดือน 0 ทุกเดือน) นี่คือสาเหตุที่ก็อปปี้สูตร Month 1 ลงมาตรงๆ ไม่ได้ ต้องปรับให้แต่ละแถวอ้างอิง "แถวเหนือมันเอง" แทน</t>
        </is>
      </c>
    </row>
    <row r="9" ht="21.75" customHeight="1">
      <c r="B9" s="7" t="inlineStr">
        <is>
          <t>Month</t>
        </is>
      </c>
      <c r="C9" s="7" t="inlineStr">
        <is>
          <t>สูตรที่ใช้ (Formula)</t>
        </is>
      </c>
      <c r="D9" s="7" t="inlineStr">
        <is>
          <t>Live Result</t>
        </is>
      </c>
    </row>
    <row r="10">
      <c r="B10" s="26" t="inlineStr">
        <is>
          <t>Growth Rate (สมมติฐาน)</t>
        </is>
      </c>
      <c r="C10" s="27" t="n">
        <v>0.05</v>
      </c>
      <c r="D10" s="28" t="n"/>
    </row>
    <row r="11">
      <c r="B11" s="29" t="inlineStr">
        <is>
          <t>Month 0 (Baseline)</t>
        </is>
      </c>
      <c r="C11" s="29" t="inlineStr">
        <is>
          <t>— (ค่าเริ่มต้น ไม่ใช่สูตร)</t>
        </is>
      </c>
      <c r="D11" s="23" t="n">
        <v>12</v>
      </c>
    </row>
    <row r="12" ht="27.75" customHeight="1">
      <c r="B12" s="30" t="inlineStr">
        <is>
          <t>Month 1</t>
        </is>
      </c>
      <c r="C12" s="10" t="inlineStr">
        <is>
          <t>Month0 * (1 + Growth Rate)</t>
        </is>
      </c>
      <c r="D12" s="31">
        <f>D11*(1+$C$10)</f>
        <v/>
      </c>
    </row>
    <row r="13" ht="27.75" customHeight="1">
      <c r="B13" s="30" t="inlineStr">
        <is>
          <t>Month 2</t>
        </is>
      </c>
      <c r="C13" s="10" t="inlineStr">
        <is>
          <t>Month1 * (1 + Growth Rate)   &lt;- ใช้แถวก่อนหน้า ไม่ใช่ baseline</t>
        </is>
      </c>
      <c r="D13" s="31">
        <f>D12*(1+$C$10)</f>
        <v/>
      </c>
    </row>
    <row r="14" ht="27.75" customHeight="1">
      <c r="B14" s="30" t="inlineStr">
        <is>
          <t>Month 3</t>
        </is>
      </c>
      <c r="C14" s="10" t="inlineStr">
        <is>
          <t>Month2 * (1 + Growth Rate)   &lt;- ใช้แถวก่อนหน้า ไม่ใช่ baseline</t>
        </is>
      </c>
      <c r="D14" s="31">
        <f>D13*(1+$C$10)</f>
        <v/>
      </c>
    </row>
    <row r="15" ht="27.75" customHeight="1">
      <c r="B15" s="30" t="inlineStr">
        <is>
          <t>Month 4</t>
        </is>
      </c>
      <c r="C15" s="10" t="inlineStr">
        <is>
          <t>Month3 * (1 + Growth Rate)   &lt;- ใช้แถวก่อนหน้า ไม่ใช่ baseline</t>
        </is>
      </c>
      <c r="D15" s="31">
        <f>D14*(1+$C$10)</f>
        <v/>
      </c>
    </row>
    <row r="16" ht="27.75" customHeight="1">
      <c r="B16" s="30" t="inlineStr">
        <is>
          <t>Month 5</t>
        </is>
      </c>
      <c r="C16" s="10" t="inlineStr">
        <is>
          <t>Month4 * (1 + Growth Rate)   &lt;- ใช้แถวก่อนหน้า ไม่ใช่ baseline</t>
        </is>
      </c>
      <c r="D16" s="31">
        <f>D15*(1+$C$10)</f>
        <v/>
      </c>
    </row>
    <row r="17" ht="27.75" customHeight="1">
      <c r="B17" s="30" t="inlineStr">
        <is>
          <t>Month 6</t>
        </is>
      </c>
      <c r="C17" s="10" t="inlineStr">
        <is>
          <t>Month5 * (1 + Growth Rate)   &lt;- ใช้แถวก่อนหน้า ไม่ใช่ baseline</t>
        </is>
      </c>
      <c r="D17" s="31">
        <f>D16*(1+$C$10)</f>
        <v/>
      </c>
    </row>
    <row r="18" ht="27.75" customHeight="1">
      <c r="B18" s="30" t="inlineStr">
        <is>
          <t>Month 7</t>
        </is>
      </c>
      <c r="C18" s="10" t="inlineStr">
        <is>
          <t>Month6 * (1 + Growth Rate)   &lt;- ใช้แถวก่อนหน้า ไม่ใช่ baseline</t>
        </is>
      </c>
      <c r="D18" s="31">
        <f>D17*(1+$C$10)</f>
        <v/>
      </c>
    </row>
    <row r="19" ht="27.75" customHeight="1">
      <c r="B19" s="30" t="inlineStr">
        <is>
          <t>Month 8</t>
        </is>
      </c>
      <c r="C19" s="10" t="inlineStr">
        <is>
          <t>Month7 * (1 + Growth Rate)   &lt;- ใช้แถวก่อนหน้า ไม่ใช่ baseline</t>
        </is>
      </c>
      <c r="D19" s="31">
        <f>D18*(1+$C$10)</f>
        <v/>
      </c>
    </row>
    <row r="20" ht="27.75" customHeight="1">
      <c r="B20" s="30" t="inlineStr">
        <is>
          <t>Month 9</t>
        </is>
      </c>
      <c r="C20" s="10" t="inlineStr">
        <is>
          <t>Month8 * (1 + Growth Rate)   &lt;- ใช้แถวก่อนหน้า ไม่ใช่ baseline</t>
        </is>
      </c>
      <c r="D20" s="31">
        <f>D19*(1+$C$10)</f>
        <v/>
      </c>
    </row>
    <row r="21" ht="27.75" customHeight="1">
      <c r="B21" s="30" t="inlineStr">
        <is>
          <t>Month 10</t>
        </is>
      </c>
      <c r="C21" s="10" t="inlineStr">
        <is>
          <t>Month9 * (1 + Growth Rate)   &lt;- ใช้แถวก่อนหน้า ไม่ใช่ baseline</t>
        </is>
      </c>
      <c r="D21" s="31">
        <f>D20*(1+$C$10)</f>
        <v/>
      </c>
    </row>
    <row r="22" ht="27.75" customHeight="1">
      <c r="B22" s="30" t="inlineStr">
        <is>
          <t>Month 11</t>
        </is>
      </c>
      <c r="C22" s="10" t="inlineStr">
        <is>
          <t>Month10 * (1 + Growth Rate)   &lt;- ใช้แถวก่อนหน้า ไม่ใช่ baseline</t>
        </is>
      </c>
      <c r="D22" s="31">
        <f>D21*(1+$C$10)</f>
        <v/>
      </c>
    </row>
    <row r="23" ht="27.75" customHeight="1">
      <c r="B23" s="30" t="inlineStr">
        <is>
          <t>Month 12</t>
        </is>
      </c>
      <c r="C23" s="10" t="inlineStr">
        <is>
          <t>Month11 * (1 + Growth Rate)   &lt;- ใช้แถวก่อนหน้า ไม่ใช่ baseline</t>
        </is>
      </c>
      <c r="D23" s="31">
        <f>D22*(1+$C$10)</f>
        <v/>
      </c>
    </row>
    <row r="25" ht="21.75" customHeight="1">
      <c r="B25" s="2" t="inlineStr">
        <is>
          <t>2. ทำไมต้องใช้เครื่องหมาย $ (Absolute Reference)</t>
        </is>
      </c>
    </row>
    <row r="27" ht="69.75" customHeight="1">
      <c r="B27" s="1" t="inlineStr">
        <is>
          <t>ถ้าไม่ล็อค Growth Rate ด้วย $ ตอนลากสูตรลงมาแต่ละแถว Excel จะเลื่อน cell reference ตามไปเรื่อยๆ (เช่นจาก D6 กลายเป็น D7, D8, ...) ทำให้สูตรไปอ้างอิงช่องว่างเปล่าแทนอัตราการเติบโตจริง ผลลัพธ์จะกลายเป็นค่าผิดเพี้ยนทันที ตำแหน่งเครื่องหมาย $ ต้องอยู่หน้าตัวอักษรคอลัมน์และหน้าเลขแถวพร้อมกัน เช่น $D$6 (ถูก) ไม่ใช่ D6$ หรือ D$6$ (ผิด)</t>
        </is>
      </c>
    </row>
    <row r="29" ht="21.75" customHeight="1">
      <c r="B29" s="2" t="inlineStr">
        <is>
          <t>3. Sensitivity Analysis คืออะไร ทำไมต้องทำเอง (Manual)</t>
        </is>
      </c>
    </row>
    <row r="31" ht="94.5" customHeight="1">
      <c r="B31" s="1" t="inlineStr">
        <is>
          <t>Sensitivity Analysis คือการทดสอบว่า ถ้าสมมติฐานตัวหนึ่งเปลี่ยนไป ผลลัพธ์สุดท้าย (Total Revenue) จะเปลี่ยนไปเท่าไหร่ วิธีทำคือ: เปลี่ยนค่าสมมติฐาน (เช่น อัตราดอกเบี้ย) -&gt; ดูว่า Total Revenue กลายเป็นเท่าไหร่ -&gt; "จด" ตัวเลขนั้นเป็นค่าคงที่ (ไม่ใช่สูตร) ลงในตาราง -&gt; เปลี่ยนค่าสมมติฐานอีกครั้งแล้วทำซ้ำ เหตุผลที่ต้องพิมพ์เป็นค่าคงที่ ไม่ใช่สูตรอ้างอิง เพราะสูตรจะโชว์ แค่ผลลัพธ์ปัจจุบันเท่านั้น พอเราเปลี่ยนสมมติฐานรอบถัดไป ตัวเลขรอบแรกจะหายไปด้วย (มันไม่ได้ "จำ" ค่าเก่าไว้)</t>
        </is>
      </c>
    </row>
    <row r="33" ht="33.75" customHeight="1">
      <c r="B33" s="7" t="inlineStr">
        <is>
          <t>Interest Rate</t>
        </is>
      </c>
      <c r="C33" s="7" t="inlineStr">
        <is>
          <t>Resulting Total Revenue</t>
        </is>
      </c>
      <c r="D33" s="7" t="inlineStr">
        <is>
          <t>ส่วนต่างจากขั้นก่อนหน้า (THB)</t>
        </is>
      </c>
    </row>
    <row r="34">
      <c r="B34" s="32" t="n">
        <v>0.1</v>
      </c>
      <c r="C34" s="33" t="n">
        <v>19186.28286</v>
      </c>
      <c r="D34" s="28" t="n"/>
    </row>
    <row r="35">
      <c r="B35" s="32" t="n">
        <v>0.15</v>
      </c>
      <c r="C35" s="33" t="n">
        <v>27325.39478</v>
      </c>
      <c r="D35" s="34">
        <f>C35-C34</f>
        <v/>
      </c>
    </row>
    <row r="36">
      <c r="B36" s="32" t="n">
        <v>0.2</v>
      </c>
      <c r="C36" s="33" t="n">
        <v>35464.507</v>
      </c>
      <c r="D36" s="34">
        <f>C36-C35</f>
        <v/>
      </c>
    </row>
    <row r="37">
      <c r="B37" s="32" t="n">
        <v>0.25</v>
      </c>
      <c r="C37" s="33" t="n">
        <v>43603.619</v>
      </c>
      <c r="D37" s="34">
        <f>C37-C36</f>
        <v/>
      </c>
    </row>
    <row r="39" ht="54.75" customHeight="1">
      <c r="B39" s="1" t="inlineStr">
        <is>
          <t>สังเกตคอลัมน์ขวาสุด: ทุกครั้งที่ดอกเบี้ยเพิ่มขึ้น 5% Total Revenue เพิ่มขึ้นเท่ากันเป๊ะทุกครั้ง (~8,139 บาท) แปลว่าความสัมพันธ์นี้เป็นเส้นตรง (Linear) — ข้อสังเกตแบบนี้แหละที่ควรเขียนลงใน Key_Insights เพราะมันแสดงว่าเราเข้าใจ ตรรกะเบื้องหลังโมเดล ไม่ใช่แค่กรอกตัวเลขอย่างเดียว</t>
        </is>
      </c>
    </row>
    <row r="41" ht="21.75" customHeight="1">
      <c r="B41" s="2" t="inlineStr">
        <is>
          <t>4. สูตร % Gap / Variance (Actual เทียบกับ Expected)</t>
        </is>
      </c>
    </row>
    <row r="43" ht="60" customHeight="1">
      <c r="B43" s="1" t="inlineStr">
        <is>
          <t>ใช้เทียบว่ายอดที่จ่ายจริง (Actual) ต่างจากยอดที่ควรจะเป็น (Expected) เท่าไหร่ ทั้งแบบจำนวนเงินและแบบเปอร์เซ็นต์ หลักสำคัญ: ตัวหารต้องเป็นค่า Expected (ค่าตั้งต้น) เสมอ ไม่ใช่ Actual — เพราะเราอยากรู้ว่า "ส่วนต่างคิดเป็นกี่ % ของยอดเดิม"</t>
        </is>
      </c>
    </row>
    <row r="45" ht="33.75" customHeight="1">
      <c r="B45" s="7" t="inlineStr">
        <is>
          <t>Expected</t>
        </is>
      </c>
      <c r="C45" s="7" t="inlineStr">
        <is>
          <t>Actual</t>
        </is>
      </c>
      <c r="D45" s="7" t="inlineStr">
        <is>
          <t>Gap % = (Actual-Expected)/Expected</t>
        </is>
      </c>
    </row>
    <row r="46">
      <c r="B46" s="23" t="n">
        <v>150</v>
      </c>
      <c r="C46" s="23" t="n">
        <v>200</v>
      </c>
      <c r="D46" s="35">
        <f>(C46-B46)/B46</f>
        <v/>
      </c>
    </row>
  </sheetData>
  <mergeCells count="11">
    <mergeCell ref="B43:F43"/>
    <mergeCell ref="B29:F29"/>
    <mergeCell ref="B39:F39"/>
    <mergeCell ref="B7:F7"/>
    <mergeCell ref="B2:F2"/>
    <mergeCell ref="B25:F25"/>
    <mergeCell ref="B3:F3"/>
    <mergeCell ref="B5:F5"/>
    <mergeCell ref="B31:F31"/>
    <mergeCell ref="B41:F41"/>
    <mergeCell ref="B27:F27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2026-09-13T18:00:58Z</dcterms:created>
  <dcterms:modified xmlns:dcterms="http://purl.org/dc/terms/" xmlns:xsi="http://www.w3.org/2001/XMLSchema-instance" xsi:type="dcterms:W3CDTF">2026-09-30T08:37:36Z</dcterms:modified>
  <cp:lastModifiedBy>Tankhun Luengchaicharn</cp:lastModifiedBy>
  <cp:revision>0</cp:revision>
</cp:coreProperties>
</file>
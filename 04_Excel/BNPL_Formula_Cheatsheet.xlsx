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OneDrive\Desktop\Projects\BA_DA_BNPL_COMMAND_CENTER\"/>
    </mc:Choice>
  </mc:AlternateContent>
  <xr:revisionPtr revIDLastSave="0" documentId="8_{1B996250-0928-4977-BC1A-C3406C6E583C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Formula_Cheatsheet" sheetId="1" r:id="rId1"/>
    <sheet name="Revenue_Model_Math_TH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6" i="2" l="1"/>
  <c r="D37" i="2"/>
  <c r="D36" i="2"/>
  <c r="D35" i="2"/>
  <c r="D12" i="2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V25" i="1"/>
  <c r="V26" i="1" s="1"/>
  <c r="V27" i="1" s="1"/>
  <c r="G15" i="1"/>
  <c r="G14" i="1"/>
  <c r="G13" i="1"/>
  <c r="G12" i="1"/>
  <c r="G11" i="1"/>
  <c r="G10" i="1"/>
  <c r="G9" i="1"/>
  <c r="G8" i="1"/>
  <c r="G7" i="1"/>
  <c r="G6" i="1"/>
  <c r="G5" i="1"/>
</calcChain>
</file>

<file path=xl/sharedStrings.xml><?xml version="1.0" encoding="utf-8"?>
<sst xmlns="http://schemas.openxmlformats.org/spreadsheetml/2006/main" count="157" uniqueCount="150">
  <si>
    <t>Excel Formula Cheat Sheet — BNPL Command Center Workbook</t>
  </si>
  <si>
    <t>Every formula &amp; technique you learned, with a live worked example. สรุปสูตรทั้งหมดที่เราเรียนพร้อมตัวอย่างที่คำนวณจริง — คอลัมน์ Live Result คำนวณจากข้อมูลตัวอย่างด้านล่างตาราง</t>
  </si>
  <si>
    <t>#</t>
  </si>
  <si>
    <t>Function / Technique</t>
  </si>
  <si>
    <t>What It Does</t>
  </si>
  <si>
    <t>ภาษาไทย (Thai)</t>
  </si>
  <si>
    <t>Generic Syntax</t>
  </si>
  <si>
    <t>Example Formula
(type it starting with =)</t>
  </si>
  <si>
    <t>Live
Result</t>
  </si>
  <si>
    <t>Common Mistake to Avoid</t>
  </si>
  <si>
    <t>COUNTBLANK
(Completeness)</t>
  </si>
  <si>
    <t>Counts empty cells in a column — checks whether required fields are missing.</t>
  </si>
  <si>
    <t>นับจำนวนช่องว่าง ใช้เช็คว่าข้อมูลที่จำเป็นหายไปหรือไม่</t>
  </si>
  <si>
    <t>COUNTBLANK(range)</t>
  </si>
  <si>
    <t>COUNTBLANK(N24:N29)</t>
  </si>
  <si>
    <t>Don't use a whole-column ref like B:B — it counts phantom blank rows all the way to row 1,048,576.</t>
  </si>
  <si>
    <t>COUNTIF
(Single Condition)</t>
  </si>
  <si>
    <t>Counts cells that match one condition.</t>
  </si>
  <si>
    <t>นับจำนวนช่องที่ตรงกับเงื่อนไขเดียว</t>
  </si>
  <si>
    <t>COUNTIF(range,"criteria")</t>
  </si>
  <si>
    <t>COUNTIF(R24:R28,"&lt;0")</t>
  </si>
  <si>
    <t>An operator criteria must be in quotes: "&lt;0", not &lt;0.</t>
  </si>
  <si>
    <t>Two COUNTBLANK/COUNTIF
Added (OR across columns)</t>
  </si>
  <si>
    <t>COUNTIFS only combines conditions with AND. For "blank in column A OR column B", add two separate calls.</t>
  </si>
  <si>
    <t>COUNTIFS รวมเงื่อนไขแบบ AND เท่านั้น ถ้าต้องการ "หรือ" ระหว่าง 2 คอลัมน์ ต้องบวกสองสูตรแยกกัน</t>
  </si>
  <si>
    <t>COUNTBLANK(rangeA)+COUNTBLANK(rangeB)</t>
  </si>
  <si>
    <t>COUNTBLANK(N24:N29)+COUNTBLANK(O24:O29)</t>
  </si>
  <si>
    <t>Writing COUNTBLANK(rangeA,rangeB) — COUNTBLANK only accepts ONE range.</t>
  </si>
  <si>
    <t>COUNTIFS
(Multiple AND / split-OR)</t>
  </si>
  <si>
    <t>Combines conditions with AND. For "outside 300–850" split into two COUNTIFS added together — one value can't be both &lt;300 and &gt;850 at once.</t>
  </si>
  <si>
    <t>รวมเงื่อนไขแบบ AND ถ้าต้องการเช็ค "นอกช่วง" ต้องแยกเป็น 2 สูตรแล้วบวกกัน เพราะค่าเดียวเป็นทั้ง &lt;300 และ &gt;850 พร้อมกันไม่ได้</t>
  </si>
  <si>
    <t>COUNTIFS(range,"&lt;300")+COUNTIFS(range,"&gt;850")</t>
  </si>
  <si>
    <t>COUNTIFS(N24:N29,"&lt;300")+COUNTIFS(N24:N29,"&gt;850")</t>
  </si>
  <si>
    <t>Putting both criteria in ONE COUNTIFS call — that asks for a value that is both at once, always returns 0.</t>
  </si>
  <si>
    <t>SUMPRODUCT + COUNTIF
(Duplicate Detection)</t>
  </si>
  <si>
    <t>Flags values that appear more than once in a column.</t>
  </si>
  <si>
    <t>หาค่าที่ซ้ำกันภายในคอลัมน์เดียว</t>
  </si>
  <si>
    <t>SUMPRODUCT((COUNTIF(range,range)&gt;1)*1)</t>
  </si>
  <si>
    <t>SUMPRODUCT((COUNTIF(M24:M29,M24:M29)&gt;1)*1)</t>
  </si>
  <si>
    <t>This counts every duplicate ROW, not unique duplicate VALUES — 2 rows with the same ID give a result of 2, not 1.</t>
  </si>
  <si>
    <t>SUMPRODUCT + COUNTIF
(Referential Integrity)</t>
  </si>
  <si>
    <t>Finds rows in a "child" table whose key doesn't exist in the "master" table (orphan foreign keys).</t>
  </si>
  <si>
    <t>หา row ในตารางลูกที่ไม่มี key อยู่ในตารางแม่ (master)</t>
  </si>
  <si>
    <t>SUMPRODUCT((COUNTIF(master_range,child_range)=0)*1)</t>
  </si>
  <si>
    <t>SUMPRODUCT((COUNTIF(M24:M29,Q24:Q28)=0)*1)</t>
  </si>
  <si>
    <t>Swapping the order — the master/source-of-truth table always goes FIRST (inside COUNTIF's range), the table being checked goes second.</t>
  </si>
  <si>
    <t>INDEX / MATCH
(Lookup)</t>
  </si>
  <si>
    <t>Looks up a value in one column based on an exact match in another.</t>
  </si>
  <si>
    <t>ค้นหาค่าจากคอลัมน์หนึ่ง โดยอ้างอิงจากอีกคอลัมน์หนึ่ง</t>
  </si>
  <si>
    <t>INDEX(column_to_return, MATCH(lookup_value, column_to_search, 0))</t>
  </si>
  <si>
    <t>INDEX(O24:O29, MATCH(203, M24:M29, 0))</t>
  </si>
  <si>
    <t>Forgetting the final "0" in MATCH — without it, Excel does an approximate match, not an exact one.</t>
  </si>
  <si>
    <t>IFERROR + INDEX/MATCH
(Safe Lookup)</t>
  </si>
  <si>
    <t>Wraps a lookup so it shows a friendly message instead of an error when nothing is found.</t>
  </si>
  <si>
    <t>ห่อสูตรค้นหาไว้ เพื่อโชว์ข้อความแทน error เวลาหาไม่เจอ</t>
  </si>
  <si>
    <t>IFERROR(formula, "fallback text")</t>
  </si>
  <si>
    <t>IFERROR(INDEX(O24:O29,MATCH(500,M24:M29,0)),"Not Found")</t>
  </si>
  <si>
    <t>Wrapping IFERROR around only PART of the formula instead of the whole INDEX/MATCH.</t>
  </si>
  <si>
    <t>IF + COUNTIF
(Existence Check)</t>
  </si>
  <si>
    <t>Returns Yes/No depending on whether a value exists anywhere in a range.</t>
  </si>
  <si>
    <t>ตอบ Yes/No ว่าค่านั้นมีอยู่ในช่วงข้อมูลหรือไม่</t>
  </si>
  <si>
    <t>IF(COUNTIF(range,value)&gt;0,"Yes","No")</t>
  </si>
  <si>
    <t>IF(COUNTIF(M24:M29,204)&gt;0,"Yes","No")</t>
  </si>
  <si>
    <t>Putting the condition INSIDE COUNTIF's criteria, e.g. COUNTIF(range,value=0) — this secretly evaluates as TRUE/FALSE first and gives a meaningless number.</t>
  </si>
  <si>
    <t>Absolute Reference ($)
(Locking a Cell)</t>
  </si>
  <si>
    <t>Keeps a specific cell reference fixed when a formula is copied to other cells — essential for chained/compounding formulas.</t>
  </si>
  <si>
    <t>ล็อคเซลล์ไม่ให้เปลี่ยนตอนลากสูตรไปเซลล์อื่น ใช้บ่อยกับสูตรทบต้น</t>
  </si>
  <si>
    <t>$ColumnRow, e.g. $E$8</t>
  </si>
  <si>
    <t>V24*(1+$V$23)   [see Revenue_Model_Math_TH sheet]</t>
  </si>
  <si>
    <t>Writing E8$ or $E8$ — the $ goes immediately BEFORE the part being locked: $E$8, never E$8$.</t>
  </si>
  <si>
    <t>Percentage / Variance
(Actual vs Expected Gap)</t>
  </si>
  <si>
    <t>Measures how far Actual is from Expected, in raw amount and as a %.</t>
  </si>
  <si>
    <t>วัดว่าค่าจริงต่างจากค่าที่คาดไว้เท่าไหร่ ทั้งจำนวนเงินและเปอร์เซ็นต์</t>
  </si>
  <si>
    <t>Gap = Actual-Expected;  Gap% = Gap/Expected</t>
  </si>
  <si>
    <t>(S28-R28)/R28</t>
  </si>
  <si>
    <t>Dividing by Actual instead of Expected — the % should always be gap ÷ the ORIGINAL baseline, not the new number.</t>
  </si>
  <si>
    <t>GETPIVOTDATA
(Pull a value from a PivotTable)</t>
  </si>
  <si>
    <t>Fetches one specific number from a PivotTable by field name. Excel auto-generates this when you click a cell inside a pivot while typing a formula.</t>
  </si>
  <si>
    <t>ดึงตัวเลขเฉพาะจุดออกจาก PivotTable โดยอ้างอิงชื่อ field (Excel สร้างให้อัตโนมัติ)</t>
  </si>
  <si>
    <t>GETPIVOTDATA("Sum of Field",anchor_cell,"RowField","ItemName")</t>
  </si>
  <si>
    <t>GETPIVOTDATA("Sum of ActualPaidAmount",$A$3,"Provider",$A10)</t>
  </si>
  <si>
    <t>— (needs a real PivotTable; see your PivotTable_Tasks sheets)</t>
  </si>
  <si>
    <t>Hardcoding the item name ("TrueMoney Next") makes it un-draggable — replace it with a cell reference (like $A10) pointing to the row label so copying down auto-adjusts.</t>
  </si>
  <si>
    <t>PivotTable Value Field Settings
(Sum vs Count vs Average)</t>
  </si>
  <si>
    <t>Changes how a PivotTable summarizes a field: Sum for money, Count for "how many", Average for rates/percentages.</t>
  </si>
  <si>
    <t>เปลี่ยนวิธีสรุปข้อมูลใน PivotTable — Sum สำหรับยอดเงิน, Count สำหรับนับจำนวน, Average สำหรับอัตรา</t>
  </si>
  <si>
    <t>Right-click field in Values box → Value Field Settings → choose Sum/Count/Average</t>
  </si>
  <si>
    <t>"Sum of CustomerID" → "Count of CustomerID"  |  "Sum of OfferedRatePct" → "Average of OfferedRatePct"</t>
  </si>
  <si>
    <t>Leaving an ID-type field on the default "Sum" — summing ID numbers together is meaningless.</t>
  </si>
  <si>
    <t>Demo Data Used By The Live Examples Above (for reference only — not part of your real workbook)</t>
  </si>
  <si>
    <t>Demo_Customers</t>
  </si>
  <si>
    <t>Demo_Transactions</t>
  </si>
  <si>
    <t>Compounding Growth Demo</t>
  </si>
  <si>
    <t>CustomerID</t>
  </si>
  <si>
    <t>CreditScore</t>
  </si>
  <si>
    <t>FullName</t>
  </si>
  <si>
    <t>ExpectedAmount</t>
  </si>
  <si>
    <t>ActualPaidAmount</t>
  </si>
  <si>
    <t>Growth Rate</t>
  </si>
  <si>
    <t>Somchai</t>
  </si>
  <si>
    <t>Month 0 (Baseline)</t>
  </si>
  <si>
    <t>Suda</t>
  </si>
  <si>
    <t>Month 1</t>
  </si>
  <si>
    <t>Anong</t>
  </si>
  <si>
    <t>Month 2</t>
  </si>
  <si>
    <t>Niran</t>
  </si>
  <si>
    <t>Month 3</t>
  </si>
  <si>
    <t>คณิตศาสตร์เบื้องหลัง Revenue Model (คำอธิบายภาษาไทย)</t>
  </si>
  <si>
    <t>อธิบายตรรกะของสูตรใน Revenue_Model sheet แบบละเอียด ใช้ทบทวนเวลาลืม</t>
  </si>
  <si>
    <t>1. สูตร Compounding Growth (การเติบโตแบบทบต้นรายเดือน)</t>
  </si>
  <si>
    <t>หลักการสำคัญ: เดือนแรก (Month 1) คำนวณจากค่า baseline (เดือน 0) โดยตรง แต่เดือน 2 เป็นต้นไป ต้องอ้างอิงจากค่าที่คำนวณไว้ของ "แถวก่อนหน้า" ไม่ใช่ baseline ซ้ำทุกครั้ง — เพราะเราต้องการให้มันโตทบต้น (เดือนนี้โตจากเดือนที่แล้ว ไม่ใช่โตจากเดือน 0 ทุกเดือน) นี่คือสาเหตุที่ก็อปปี้สูตร Month 1 ลงมาตรงๆ ไม่ได้ ต้องปรับให้แต่ละแถวอ้างอิง "แถวเหนือมันเอง" แทน</t>
  </si>
  <si>
    <t>Month</t>
  </si>
  <si>
    <t>สูตรที่ใช้ (Formula)</t>
  </si>
  <si>
    <t>Live Result</t>
  </si>
  <si>
    <t>Growth Rate (สมมติฐาน)</t>
  </si>
  <si>
    <t>— (ค่าเริ่มต้น ไม่ใช่สูตร)</t>
  </si>
  <si>
    <t>Month0 * (1 + Growth Rate)</t>
  </si>
  <si>
    <t>Month1 * (1 + Growth Rate)   &lt;- ใช้แถวก่อนหน้า ไม่ใช่ baseline</t>
  </si>
  <si>
    <t>Month2 * (1 + Growth Rate)   &lt;- ใช้แถวก่อนหน้า ไม่ใช่ baseline</t>
  </si>
  <si>
    <t>Month 4</t>
  </si>
  <si>
    <t>Month3 * (1 + Growth Rate)   &lt;- ใช้แถวก่อนหน้า ไม่ใช่ baseline</t>
  </si>
  <si>
    <t>Month 5</t>
  </si>
  <si>
    <t>Month4 * (1 + Growth Rate)   &lt;- ใช้แถวก่อนหน้า ไม่ใช่ baseline</t>
  </si>
  <si>
    <t>Month 6</t>
  </si>
  <si>
    <t>Month5 * (1 + Growth Rate)   &lt;- ใช้แถวก่อนหน้า ไม่ใช่ baseline</t>
  </si>
  <si>
    <t>Month 7</t>
  </si>
  <si>
    <t>Month6 * (1 + Growth Rate)   &lt;- ใช้แถวก่อนหน้า ไม่ใช่ baseline</t>
  </si>
  <si>
    <t>Month 8</t>
  </si>
  <si>
    <t>Month7 * (1 + Growth Rate)   &lt;- ใช้แถวก่อนหน้า ไม่ใช่ baseline</t>
  </si>
  <si>
    <t>Month 9</t>
  </si>
  <si>
    <t>Month8 * (1 + Growth Rate)   &lt;- ใช้แถวก่อนหน้า ไม่ใช่ baseline</t>
  </si>
  <si>
    <t>Month 10</t>
  </si>
  <si>
    <t>Month9 * (1 + Growth Rate)   &lt;- ใช้แถวก่อนหน้า ไม่ใช่ baseline</t>
  </si>
  <si>
    <t>Month 11</t>
  </si>
  <si>
    <t>Month10 * (1 + Growth Rate)   &lt;- ใช้แถวก่อนหน้า ไม่ใช่ baseline</t>
  </si>
  <si>
    <t>Month 12</t>
  </si>
  <si>
    <t>Month11 * (1 + Growth Rate)   &lt;- ใช้แถวก่อนหน้า ไม่ใช่ baseline</t>
  </si>
  <si>
    <t>2. ทำไมต้องใช้เครื่องหมาย $ (Absolute Reference)</t>
  </si>
  <si>
    <t>ถ้าไม่ล็อค Growth Rate ด้วย $ ตอนลากสูตรลงมาแต่ละแถว Excel จะเลื่อน cell reference ตามไปเรื่อยๆ (เช่นจาก D6 กลายเป็น D7, D8, ...) ทำให้สูตรไปอ้างอิงช่องว่างเปล่าแทนอัตราการเติบโตจริง ผลลัพธ์จะกลายเป็นค่าผิดเพี้ยนทันที ตำแหน่งเครื่องหมาย $ ต้องอยู่หน้าตัวอักษรคอลัมน์และหน้าเลขแถวพร้อมกัน เช่น $D$6 (ถูก) ไม่ใช่ D6$ หรือ D$6$ (ผิด)</t>
  </si>
  <si>
    <t>3. Sensitivity Analysis คืออะไร ทำไมต้องทำเอง (Manual)</t>
  </si>
  <si>
    <t>Sensitivity Analysis คือการทดสอบว่า ถ้าสมมติฐานตัวหนึ่งเปลี่ยนไป ผลลัพธ์สุดท้าย (Total Revenue) จะเปลี่ยนไปเท่าไหร่ วิธีทำคือ: เปลี่ยนค่าสมมติฐาน (เช่น อัตราดอกเบี้ย) -&gt; ดูว่า Total Revenue กลายเป็นเท่าไหร่ -&gt; "จด" ตัวเลขนั้นเป็นค่าคงที่ (ไม่ใช่สูตร) ลงในตาราง -&gt; เปลี่ยนค่าสมมติฐานอีกครั้งแล้วทำซ้ำ เหตุผลที่ต้องพิมพ์เป็นค่าคงที่ ไม่ใช่สูตรอ้างอิง เพราะสูตรจะโชว์ แค่ผลลัพธ์ปัจจุบันเท่านั้น พอเราเปลี่ยนสมมติฐานรอบถัดไป ตัวเลขรอบแรกจะหายไปด้วย (มันไม่ได้ "จำ" ค่าเก่าไว้)</t>
  </si>
  <si>
    <t>Interest Rate</t>
  </si>
  <si>
    <t>Resulting Total Revenue</t>
  </si>
  <si>
    <t>ส่วนต่างจากขั้นก่อนหน้า (THB)</t>
  </si>
  <si>
    <t>สังเกตคอลัมน์ขวาสุด: ทุกครั้งที่ดอกเบี้ยเพิ่มขึ้น 5% Total Revenue เพิ่มขึ้นเท่ากันเป๊ะทุกครั้ง (~8,139 บาท) แปลว่าความสัมพันธ์นี้เป็นเส้นตรง (Linear) — ข้อสังเกตแบบนี้แหละที่ควรเขียนลงใน Key_Insights เพราะมันแสดงว่าเราเข้าใจ ตรรกะเบื้องหลังโมเดล ไม่ใช่แค่กรอกตัวเลขอย่างเดียว</t>
  </si>
  <si>
    <t>4. สูตร % Gap / Variance (Actual เทียบกับ Expected)</t>
  </si>
  <si>
    <t>ใช้เทียบว่ายอดที่จ่ายจริง (Actual) ต่างจากยอดที่ควรจะเป็น (Expected) เท่าไหร่ ทั้งแบบจำนวนเงินและแบบเปอร์เซ็นต์ หลักสำคัญ: ตัวหารต้องเป็นค่า Expected (ค่าตั้งต้น) เสมอ ไม่ใช่ Actual — เพราะเราอยากรู้ว่า "ส่วนต่างคิดเป็นกี่ % ของยอดเดิม"</t>
  </si>
  <si>
    <t>Expected</t>
  </si>
  <si>
    <t>Actual</t>
  </si>
  <si>
    <t>Gap % = (Actual-Expected)/Expected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</si>
</sst>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"/>
  </numFmts>
  <fonts count="11" x14ac:knownFonts="1">
    <font>
      <sz val="11"/>
      <color theme="1"/>
      <name val="Calibri"/>
      <family val="2"/>
      <charset val="1"/>
    </font>
    <font>
      <b/>
      <sz val="18"/>
      <color rgb="FF1F3864"/>
      <name val="Arial"/>
      <charset val="1"/>
    </font>
    <font>
      <i/>
      <sz val="11"/>
      <color rgb="FF595959"/>
      <name val="Arial"/>
      <charset val="1"/>
    </font>
    <font>
      <b/>
      <sz val="10.5"/>
      <color rgb="FFFFFFFF"/>
      <name val="Arial"/>
      <charset val="1"/>
    </font>
    <font>
      <sz val="10.5"/>
      <name val="Arial"/>
      <charset val="1"/>
    </font>
    <font>
      <b/>
      <sz val="10.5"/>
      <name val="Arial"/>
      <charset val="1"/>
    </font>
    <font>
      <sz val="10.5"/>
      <color rgb="FF7030A0"/>
      <name val="Arial"/>
      <charset val="1"/>
    </font>
    <font>
      <b/>
      <sz val="10.5"/>
      <color rgb="FF006100"/>
      <name val="Arial"/>
      <charset val="1"/>
    </font>
    <font>
      <sz val="10.5"/>
      <color rgb="FFC00000"/>
      <name val="Arial"/>
      <charset val="1"/>
    </font>
    <font>
      <b/>
      <sz val="13"/>
      <color rgb="FFFFFFFF"/>
      <name val="Arial"/>
      <charset val="1"/>
    </font>
    <font>
      <sz val="10.5"/>
      <color rgb="FF0000F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2E5395"/>
        <bgColor rgb="FF1F3864"/>
      </patternFill>
    </fill>
    <fill>
      <patternFill patternType="solid">
        <fgColor rgb="FFFFF2CC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0" borderId="0" xfId="0" applyFont="1" applyAlignment="1">
      <alignment vertical="top" wrapText="1"/>
    </xf>
    <xf numFmtId="0" fontId="9" fillId="5" borderId="0" xfId="0" applyFont="1" applyFill="1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5" fillId="0" borderId="0" xfId="0" applyFont="1"/>
    <xf numFmtId="0" fontId="3" fillId="2" borderId="1" xfId="0" applyFont="1" applyFill="1" applyBorder="1"/>
    <xf numFmtId="0" fontId="10" fillId="6" borderId="0" xfId="0" applyFont="1" applyFill="1"/>
    <xf numFmtId="164" fontId="10" fillId="6" borderId="0" xfId="0" applyNumberFormat="1" applyFont="1" applyFill="1"/>
    <xf numFmtId="0" fontId="10" fillId="6" borderId="1" xfId="0" applyFont="1" applyFill="1" applyBorder="1"/>
    <xf numFmtId="0" fontId="4" fillId="0" borderId="0" xfId="0" applyFont="1"/>
    <xf numFmtId="165" fontId="7" fillId="3" borderId="0" xfId="0" applyNumberFormat="1" applyFont="1" applyFill="1"/>
    <xf numFmtId="0" fontId="10" fillId="0" borderId="1" xfId="0" applyFont="1" applyBorder="1"/>
    <xf numFmtId="164" fontId="10" fillId="6" borderId="1" xfId="0" applyNumberFormat="1" applyFont="1" applyFill="1" applyBorder="1"/>
    <xf numFmtId="0" fontId="0" fillId="0" borderId="1" xfId="0" applyBorder="1"/>
    <xf numFmtId="0" fontId="4" fillId="0" borderId="1" xfId="0" applyFont="1" applyBorder="1"/>
    <xf numFmtId="0" fontId="4" fillId="0" borderId="1" xfId="0" applyFont="1" applyBorder="1" applyAlignment="1">
      <alignment vertical="center"/>
    </xf>
    <xf numFmtId="165" fontId="7" fillId="3" borderId="1" xfId="0" applyNumberFormat="1" applyFont="1" applyFill="1" applyBorder="1" applyAlignment="1">
      <alignment horizontal="right" vertical="center"/>
    </xf>
    <xf numFmtId="9" fontId="10" fillId="6" borderId="1" xfId="0" applyNumberFormat="1" applyFont="1" applyFill="1" applyBorder="1"/>
    <xf numFmtId="4" fontId="10" fillId="6" borderId="1" xfId="0" applyNumberFormat="1" applyFont="1" applyFill="1" applyBorder="1"/>
    <xf numFmtId="4" fontId="7" fillId="3" borderId="1" xfId="0" applyNumberFormat="1" applyFont="1" applyFill="1" applyBorder="1"/>
    <xf numFmtId="164" fontId="7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29"/>
  <sheetViews>
    <sheetView tabSelected="1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4" customWidth="1"/>
    <col min="2" max="2" width="22" customWidth="1"/>
    <col min="3" max="4" width="34" customWidth="1"/>
    <col min="5" max="5" width="26" customWidth="1"/>
    <col min="6" max="6" width="30" customWidth="1"/>
    <col min="7" max="7" width="14" customWidth="1"/>
    <col min="8" max="8" width="34" customWidth="1"/>
    <col min="13" max="13" width="12" customWidth="1"/>
    <col min="14" max="14" width="13" customWidth="1"/>
    <col min="15" max="15" width="12" customWidth="1"/>
    <col min="16" max="16" width="3" customWidth="1"/>
    <col min="17" max="17" width="12" customWidth="1"/>
    <col min="18" max="18" width="15" customWidth="1"/>
    <col min="19" max="19" width="16" customWidth="1"/>
    <col min="20" max="20" width="3" customWidth="1"/>
    <col min="21" max="21" width="16" customWidth="1"/>
    <col min="22" max="22" width="10" customWidth="1"/>
  </cols>
  <sheetData>
    <row r="1" spans="1:8" ht="27.75" customHeight="1" x14ac:dyDescent="0.4">
      <c r="A1" s="4" t="s">
        <v>0</v>
      </c>
      <c r="B1" s="4"/>
      <c r="C1" s="4"/>
      <c r="D1" s="4"/>
      <c r="E1" s="4"/>
      <c r="F1" s="4"/>
      <c r="G1" s="4"/>
      <c r="H1" s="4"/>
    </row>
    <row r="2" spans="1:8" ht="30" customHeight="1" x14ac:dyDescent="0.3">
      <c r="A2" s="3" t="s">
        <v>1</v>
      </c>
      <c r="B2" s="3"/>
      <c r="C2" s="3"/>
      <c r="D2" s="3"/>
      <c r="E2" s="3"/>
      <c r="F2" s="3"/>
      <c r="G2" s="3"/>
      <c r="H2" s="3"/>
    </row>
    <row r="4" spans="1:8" ht="30" customHeight="1" x14ac:dyDescent="0.3">
      <c r="A4" s="5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7" t="s">
        <v>8</v>
      </c>
      <c r="H4" s="6" t="s">
        <v>9</v>
      </c>
    </row>
    <row r="5" spans="1:8" ht="57.75" customHeight="1" x14ac:dyDescent="0.3">
      <c r="A5" s="8">
        <v>1</v>
      </c>
      <c r="B5" s="9" t="s">
        <v>10</v>
      </c>
      <c r="C5" s="10" t="s">
        <v>11</v>
      </c>
      <c r="D5" s="11" t="s">
        <v>12</v>
      </c>
      <c r="E5" s="10" t="s">
        <v>13</v>
      </c>
      <c r="F5" s="10" t="s">
        <v>14</v>
      </c>
      <c r="G5" s="12">
        <f>COUNTBLANK(N24:N29)</f>
        <v>1</v>
      </c>
      <c r="H5" s="13" t="s">
        <v>15</v>
      </c>
    </row>
    <row r="6" spans="1:8" ht="57.75" customHeight="1" x14ac:dyDescent="0.3">
      <c r="A6" s="14">
        <v>2</v>
      </c>
      <c r="B6" s="15" t="s">
        <v>16</v>
      </c>
      <c r="C6" s="16" t="s">
        <v>17</v>
      </c>
      <c r="D6" s="17" t="s">
        <v>18</v>
      </c>
      <c r="E6" s="16" t="s">
        <v>19</v>
      </c>
      <c r="F6" s="16" t="s">
        <v>20</v>
      </c>
      <c r="G6" s="12">
        <f>COUNTIF(R24:R28,"&lt;0")</f>
        <v>1</v>
      </c>
      <c r="H6" s="18" t="s">
        <v>21</v>
      </c>
    </row>
    <row r="7" spans="1:8" ht="57.75" customHeight="1" x14ac:dyDescent="0.3">
      <c r="A7" s="8">
        <v>3</v>
      </c>
      <c r="B7" s="9" t="s">
        <v>22</v>
      </c>
      <c r="C7" s="10" t="s">
        <v>23</v>
      </c>
      <c r="D7" s="11" t="s">
        <v>24</v>
      </c>
      <c r="E7" s="10" t="s">
        <v>25</v>
      </c>
      <c r="F7" s="10" t="s">
        <v>26</v>
      </c>
      <c r="G7" s="12">
        <f>COUNTBLANK(N24:N29)+COUNTBLANK(O24:O29)</f>
        <v>2</v>
      </c>
      <c r="H7" s="13" t="s">
        <v>27</v>
      </c>
    </row>
    <row r="8" spans="1:8" ht="57.75" customHeight="1" x14ac:dyDescent="0.3">
      <c r="A8" s="14">
        <v>4</v>
      </c>
      <c r="B8" s="15" t="s">
        <v>28</v>
      </c>
      <c r="C8" s="16" t="s">
        <v>29</v>
      </c>
      <c r="D8" s="17" t="s">
        <v>30</v>
      </c>
      <c r="E8" s="16" t="s">
        <v>31</v>
      </c>
      <c r="F8" s="16" t="s">
        <v>32</v>
      </c>
      <c r="G8" s="12">
        <f>COUNTIFS(N24:N29,"&lt;300")+COUNTIFS(N24:N29,"&gt;850")</f>
        <v>2</v>
      </c>
      <c r="H8" s="18" t="s">
        <v>33</v>
      </c>
    </row>
    <row r="9" spans="1:8" ht="57.75" customHeight="1" x14ac:dyDescent="0.3">
      <c r="A9" s="8">
        <v>5</v>
      </c>
      <c r="B9" s="9" t="s">
        <v>34</v>
      </c>
      <c r="C9" s="10" t="s">
        <v>35</v>
      </c>
      <c r="D9" s="11" t="s">
        <v>36</v>
      </c>
      <c r="E9" s="10" t="s">
        <v>37</v>
      </c>
      <c r="F9" s="10" t="s">
        <v>38</v>
      </c>
      <c r="G9" s="12">
        <f>SUMPRODUCT((COUNTIF(M24:M29,M24:M29)&gt;1)*1)</f>
        <v>2</v>
      </c>
      <c r="H9" s="13" t="s">
        <v>39</v>
      </c>
    </row>
    <row r="10" spans="1:8" ht="57.75" customHeight="1" x14ac:dyDescent="0.3">
      <c r="A10" s="14">
        <v>6</v>
      </c>
      <c r="B10" s="15" t="s">
        <v>40</v>
      </c>
      <c r="C10" s="16" t="s">
        <v>41</v>
      </c>
      <c r="D10" s="17" t="s">
        <v>42</v>
      </c>
      <c r="E10" s="16" t="s">
        <v>43</v>
      </c>
      <c r="F10" s="16" t="s">
        <v>44</v>
      </c>
      <c r="G10" s="12">
        <f>SUMPRODUCT((COUNTIF(M24:M29,Q24:Q28)=0)*1)</f>
        <v>1</v>
      </c>
      <c r="H10" s="18" t="s">
        <v>45</v>
      </c>
    </row>
    <row r="11" spans="1:8" ht="57.75" customHeight="1" x14ac:dyDescent="0.3">
      <c r="A11" s="8">
        <v>7</v>
      </c>
      <c r="B11" s="9" t="s">
        <v>46</v>
      </c>
      <c r="C11" s="10" t="s">
        <v>47</v>
      </c>
      <c r="D11" s="11" t="s">
        <v>48</v>
      </c>
      <c r="E11" s="10" t="s">
        <v>49</v>
      </c>
      <c r="F11" s="10" t="s">
        <v>50</v>
      </c>
      <c r="G11" s="12" t="str">
        <f>INDEX(O24:O29,MATCH(203,M24:M29,0))</f>
        <v>Anong</v>
      </c>
      <c r="H11" s="13" t="s">
        <v>51</v>
      </c>
    </row>
    <row r="12" spans="1:8" ht="57.75" customHeight="1" x14ac:dyDescent="0.3">
      <c r="A12" s="14">
        <v>8</v>
      </c>
      <c r="B12" s="15" t="s">
        <v>52</v>
      </c>
      <c r="C12" s="16" t="s">
        <v>53</v>
      </c>
      <c r="D12" s="17" t="s">
        <v>54</v>
      </c>
      <c r="E12" s="16" t="s">
        <v>55</v>
      </c>
      <c r="F12" s="16" t="s">
        <v>56</v>
      </c>
      <c r="G12" s="12" t="str">
        <f>IFERROR(INDEX(O24:O29,MATCH(500,M24:M29,0)),"Not Found")</f>
        <v>Not Found</v>
      </c>
      <c r="H12" s="18" t="s">
        <v>57</v>
      </c>
    </row>
    <row r="13" spans="1:8" ht="57.75" customHeight="1" x14ac:dyDescent="0.3">
      <c r="A13" s="8">
        <v>9</v>
      </c>
      <c r="B13" s="9" t="s">
        <v>58</v>
      </c>
      <c r="C13" s="10" t="s">
        <v>59</v>
      </c>
      <c r="D13" s="11" t="s">
        <v>60</v>
      </c>
      <c r="E13" s="10" t="s">
        <v>61</v>
      </c>
      <c r="F13" s="10" t="s">
        <v>62</v>
      </c>
      <c r="G13" s="12" t="str">
        <f>IF(COUNTIF(M24:M29,204)&gt;0,"Yes","No")</f>
        <v>Yes</v>
      </c>
      <c r="H13" s="13" t="s">
        <v>63</v>
      </c>
    </row>
    <row r="14" spans="1:8" ht="57.75" customHeight="1" x14ac:dyDescent="0.3">
      <c r="A14" s="14">
        <v>10</v>
      </c>
      <c r="B14" s="15" t="s">
        <v>64</v>
      </c>
      <c r="C14" s="16" t="s">
        <v>65</v>
      </c>
      <c r="D14" s="17" t="s">
        <v>66</v>
      </c>
      <c r="E14" s="16" t="s">
        <v>67</v>
      </c>
      <c r="F14" s="16" t="s">
        <v>68</v>
      </c>
      <c r="G14" s="12">
        <f>V24*(1+$V$23)</f>
        <v>12.600000000000001</v>
      </c>
      <c r="H14" s="18" t="s">
        <v>69</v>
      </c>
    </row>
    <row r="15" spans="1:8" ht="57.75" customHeight="1" x14ac:dyDescent="0.3">
      <c r="A15" s="8">
        <v>11</v>
      </c>
      <c r="B15" s="9" t="s">
        <v>70</v>
      </c>
      <c r="C15" s="10" t="s">
        <v>71</v>
      </c>
      <c r="D15" s="11" t="s">
        <v>72</v>
      </c>
      <c r="E15" s="10" t="s">
        <v>73</v>
      </c>
      <c r="F15" s="10" t="s">
        <v>74</v>
      </c>
      <c r="G15" s="12">
        <f>(S28-R28)/R28</f>
        <v>0.33333333333333331</v>
      </c>
      <c r="H15" s="13" t="s">
        <v>75</v>
      </c>
    </row>
    <row r="16" spans="1:8" ht="57.75" customHeight="1" x14ac:dyDescent="0.3">
      <c r="A16" s="14">
        <v>12</v>
      </c>
      <c r="B16" s="15" t="s">
        <v>76</v>
      </c>
      <c r="C16" s="16" t="s">
        <v>77</v>
      </c>
      <c r="D16" s="17" t="s">
        <v>78</v>
      </c>
      <c r="E16" s="16" t="s">
        <v>79</v>
      </c>
      <c r="F16" s="16" t="s">
        <v>80</v>
      </c>
      <c r="G16" s="14" t="s">
        <v>81</v>
      </c>
      <c r="H16" s="18" t="s">
        <v>82</v>
      </c>
    </row>
    <row r="17" spans="1:22" ht="57.75" customHeight="1" x14ac:dyDescent="0.3">
      <c r="A17" s="8">
        <v>13</v>
      </c>
      <c r="B17" s="9" t="s">
        <v>83</v>
      </c>
      <c r="C17" s="10" t="s">
        <v>84</v>
      </c>
      <c r="D17" s="11" t="s">
        <v>85</v>
      </c>
      <c r="E17" s="10" t="s">
        <v>86</v>
      </c>
      <c r="F17" s="10" t="s">
        <v>87</v>
      </c>
      <c r="G17" s="8" t="s">
        <v>81</v>
      </c>
      <c r="H17" s="13" t="s">
        <v>88</v>
      </c>
    </row>
    <row r="20" spans="1:22" ht="21.75" customHeight="1" x14ac:dyDescent="0.3">
      <c r="A20" s="2" t="s">
        <v>89</v>
      </c>
      <c r="B20" s="2"/>
      <c r="C20" s="2"/>
      <c r="D20" s="2"/>
      <c r="E20" s="2"/>
      <c r="F20" s="2"/>
      <c r="G20" s="2"/>
      <c r="H20" s="2"/>
    </row>
    <row r="22" spans="1:22" x14ac:dyDescent="0.3">
      <c r="M22" s="19" t="s">
        <v>90</v>
      </c>
      <c r="Q22" s="19" t="s">
        <v>91</v>
      </c>
      <c r="U22" s="19" t="s">
        <v>92</v>
      </c>
    </row>
    <row r="23" spans="1:22" x14ac:dyDescent="0.3">
      <c r="M23" s="20" t="s">
        <v>93</v>
      </c>
      <c r="N23" s="20" t="s">
        <v>94</v>
      </c>
      <c r="O23" s="20" t="s">
        <v>95</v>
      </c>
      <c r="Q23" s="20" t="s">
        <v>93</v>
      </c>
      <c r="R23" s="20" t="s">
        <v>96</v>
      </c>
      <c r="S23" s="20" t="s">
        <v>97</v>
      </c>
      <c r="U23" s="21" t="s">
        <v>98</v>
      </c>
      <c r="V23" s="22">
        <v>0.05</v>
      </c>
    </row>
    <row r="24" spans="1:22" x14ac:dyDescent="0.3">
      <c r="M24" s="23">
        <v>201</v>
      </c>
      <c r="N24" s="23">
        <v>700</v>
      </c>
      <c r="O24" s="23" t="s">
        <v>99</v>
      </c>
      <c r="Q24" s="23">
        <v>201</v>
      </c>
      <c r="R24" s="23">
        <v>500</v>
      </c>
      <c r="S24" s="23">
        <v>500</v>
      </c>
      <c r="U24" s="24" t="s">
        <v>100</v>
      </c>
      <c r="V24" s="21">
        <v>12</v>
      </c>
    </row>
    <row r="25" spans="1:22" x14ac:dyDescent="0.3">
      <c r="M25" s="23">
        <v>202</v>
      </c>
      <c r="N25" s="23"/>
      <c r="O25" s="23" t="s">
        <v>101</v>
      </c>
      <c r="Q25" s="23">
        <v>202</v>
      </c>
      <c r="R25" s="23">
        <v>300</v>
      </c>
      <c r="S25" s="23">
        <v>300</v>
      </c>
      <c r="U25" s="24" t="s">
        <v>102</v>
      </c>
      <c r="V25" s="25">
        <f>V24*(1+$V$23)</f>
        <v>12.600000000000001</v>
      </c>
    </row>
    <row r="26" spans="1:22" x14ac:dyDescent="0.3">
      <c r="M26" s="23">
        <v>203</v>
      </c>
      <c r="N26" s="23">
        <v>900</v>
      </c>
      <c r="O26" s="23" t="s">
        <v>103</v>
      </c>
      <c r="Q26" s="23">
        <v>203</v>
      </c>
      <c r="R26" s="23">
        <v>-50</v>
      </c>
      <c r="S26" s="23">
        <v>100</v>
      </c>
      <c r="U26" s="24" t="s">
        <v>104</v>
      </c>
      <c r="V26" s="25">
        <f>V25*(1+$V$23)</f>
        <v>13.230000000000002</v>
      </c>
    </row>
    <row r="27" spans="1:22" x14ac:dyDescent="0.3">
      <c r="M27" s="23">
        <v>204</v>
      </c>
      <c r="N27" s="23">
        <v>400</v>
      </c>
      <c r="O27" s="23" t="s">
        <v>105</v>
      </c>
      <c r="Q27" s="23">
        <v>999</v>
      </c>
      <c r="R27" s="23">
        <v>200</v>
      </c>
      <c r="S27" s="23">
        <v>200</v>
      </c>
      <c r="U27" s="24" t="s">
        <v>106</v>
      </c>
      <c r="V27" s="25">
        <f>V26*(1+$V$23)</f>
        <v>13.891500000000002</v>
      </c>
    </row>
    <row r="28" spans="1:22" x14ac:dyDescent="0.3">
      <c r="M28" s="23">
        <v>205</v>
      </c>
      <c r="N28" s="23">
        <v>250</v>
      </c>
      <c r="O28" s="23"/>
      <c r="Q28" s="23">
        <v>204</v>
      </c>
      <c r="R28" s="23">
        <v>150</v>
      </c>
      <c r="S28" s="23">
        <v>200</v>
      </c>
    </row>
    <row r="29" spans="1:22" x14ac:dyDescent="0.3">
      <c r="M29" s="23">
        <v>201</v>
      </c>
      <c r="N29" s="23">
        <v>700</v>
      </c>
      <c r="O29" s="23" t="s">
        <v>99</v>
      </c>
    </row>
  </sheetData>
  <mergeCells count="3">
    <mergeCell ref="A1:H1"/>
    <mergeCell ref="A2:H2"/>
    <mergeCell ref="A20:H20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F46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3" customWidth="1"/>
    <col min="2" max="2" width="26" customWidth="1"/>
    <col min="3" max="3" width="34" customWidth="1"/>
    <col min="4" max="4" width="26" customWidth="1"/>
    <col min="5" max="5" width="3" customWidth="1"/>
    <col min="6" max="6" width="34" customWidth="1"/>
  </cols>
  <sheetData>
    <row r="2" spans="2:6" ht="27.75" customHeight="1" x14ac:dyDescent="0.4">
      <c r="B2" s="4" t="s">
        <v>107</v>
      </c>
      <c r="C2" s="4"/>
      <c r="D2" s="4"/>
      <c r="E2" s="4"/>
      <c r="F2" s="4"/>
    </row>
    <row r="3" spans="2:6" ht="19.5" customHeight="1" x14ac:dyDescent="0.3">
      <c r="B3" s="3" t="s">
        <v>108</v>
      </c>
      <c r="C3" s="3"/>
      <c r="D3" s="3"/>
      <c r="E3" s="3"/>
      <c r="F3" s="3"/>
    </row>
    <row r="5" spans="2:6" ht="21.75" customHeight="1" x14ac:dyDescent="0.3">
      <c r="B5" s="2" t="s">
        <v>109</v>
      </c>
      <c r="C5" s="2"/>
      <c r="D5" s="2"/>
      <c r="E5" s="2"/>
      <c r="F5" s="2"/>
    </row>
    <row r="7" spans="2:6" ht="75" customHeight="1" x14ac:dyDescent="0.3">
      <c r="B7" s="1" t="s">
        <v>110</v>
      </c>
      <c r="C7" s="1"/>
      <c r="D7" s="1"/>
      <c r="E7" s="1"/>
      <c r="F7" s="1"/>
    </row>
    <row r="9" spans="2:6" ht="21.75" customHeight="1" x14ac:dyDescent="0.3">
      <c r="B9" s="7" t="s">
        <v>111</v>
      </c>
      <c r="C9" s="7" t="s">
        <v>112</v>
      </c>
      <c r="D9" s="7" t="s">
        <v>113</v>
      </c>
    </row>
    <row r="10" spans="2:6" x14ac:dyDescent="0.3">
      <c r="B10" s="26" t="s">
        <v>114</v>
      </c>
      <c r="C10" s="27">
        <v>0.05</v>
      </c>
      <c r="D10" s="28"/>
    </row>
    <row r="11" spans="2:6" x14ac:dyDescent="0.3">
      <c r="B11" s="29" t="s">
        <v>100</v>
      </c>
      <c r="C11" s="29" t="s">
        <v>115</v>
      </c>
      <c r="D11" s="23">
        <v>12</v>
      </c>
    </row>
    <row r="12" spans="2:6" ht="27.75" customHeight="1" x14ac:dyDescent="0.3">
      <c r="B12" s="30" t="s">
        <v>102</v>
      </c>
      <c r="C12" s="10" t="s">
        <v>116</v>
      </c>
      <c r="D12" s="31">
        <f t="shared" ref="D12:D23" si="0">D11*(1+$C$10)</f>
        <v>12.600000000000001</v>
      </c>
    </row>
    <row r="13" spans="2:6" ht="27.75" customHeight="1" x14ac:dyDescent="0.3">
      <c r="B13" s="30" t="s">
        <v>104</v>
      </c>
      <c r="C13" s="10" t="s">
        <v>117</v>
      </c>
      <c r="D13" s="31">
        <f t="shared" si="0"/>
        <v>13.230000000000002</v>
      </c>
    </row>
    <row r="14" spans="2:6" ht="27.75" customHeight="1" x14ac:dyDescent="0.3">
      <c r="B14" s="30" t="s">
        <v>106</v>
      </c>
      <c r="C14" s="10" t="s">
        <v>118</v>
      </c>
      <c r="D14" s="31">
        <f t="shared" si="0"/>
        <v>13.891500000000002</v>
      </c>
    </row>
    <row r="15" spans="2:6" ht="27.75" customHeight="1" x14ac:dyDescent="0.3">
      <c r="B15" s="30" t="s">
        <v>119</v>
      </c>
      <c r="C15" s="10" t="s">
        <v>120</v>
      </c>
      <c r="D15" s="31">
        <f t="shared" si="0"/>
        <v>14.586075000000003</v>
      </c>
    </row>
    <row r="16" spans="2:6" ht="27.75" customHeight="1" x14ac:dyDescent="0.3">
      <c r="B16" s="30" t="s">
        <v>121</v>
      </c>
      <c r="C16" s="10" t="s">
        <v>122</v>
      </c>
      <c r="D16" s="31">
        <f t="shared" si="0"/>
        <v>15.315378750000004</v>
      </c>
    </row>
    <row r="17" spans="2:6" ht="27.75" customHeight="1" x14ac:dyDescent="0.3">
      <c r="B17" s="30" t="s">
        <v>123</v>
      </c>
      <c r="C17" s="10" t="s">
        <v>124</v>
      </c>
      <c r="D17" s="31">
        <f t="shared" si="0"/>
        <v>16.081147687500007</v>
      </c>
    </row>
    <row r="18" spans="2:6" ht="27.75" customHeight="1" x14ac:dyDescent="0.3">
      <c r="B18" s="30" t="s">
        <v>125</v>
      </c>
      <c r="C18" s="10" t="s">
        <v>126</v>
      </c>
      <c r="D18" s="31">
        <f t="shared" si="0"/>
        <v>16.885205071875006</v>
      </c>
    </row>
    <row r="19" spans="2:6" ht="27.75" customHeight="1" x14ac:dyDescent="0.3">
      <c r="B19" s="30" t="s">
        <v>127</v>
      </c>
      <c r="C19" s="10" t="s">
        <v>128</v>
      </c>
      <c r="D19" s="31">
        <f t="shared" si="0"/>
        <v>17.729465325468759</v>
      </c>
    </row>
    <row r="20" spans="2:6" ht="27.75" customHeight="1" x14ac:dyDescent="0.3">
      <c r="B20" s="30" t="s">
        <v>129</v>
      </c>
      <c r="C20" s="10" t="s">
        <v>130</v>
      </c>
      <c r="D20" s="31">
        <f t="shared" si="0"/>
        <v>18.615938591742196</v>
      </c>
    </row>
    <row r="21" spans="2:6" ht="27.75" customHeight="1" x14ac:dyDescent="0.3">
      <c r="B21" s="30" t="s">
        <v>131</v>
      </c>
      <c r="C21" s="10" t="s">
        <v>132</v>
      </c>
      <c r="D21" s="31">
        <f t="shared" si="0"/>
        <v>19.546735521329307</v>
      </c>
    </row>
    <row r="22" spans="2:6" ht="27.75" customHeight="1" x14ac:dyDescent="0.3">
      <c r="B22" s="30" t="s">
        <v>133</v>
      </c>
      <c r="C22" s="10" t="s">
        <v>134</v>
      </c>
      <c r="D22" s="31">
        <f t="shared" si="0"/>
        <v>20.524072297395772</v>
      </c>
    </row>
    <row r="23" spans="2:6" ht="27.75" customHeight="1" x14ac:dyDescent="0.3">
      <c r="B23" s="30" t="s">
        <v>135</v>
      </c>
      <c r="C23" s="10" t="s">
        <v>136</v>
      </c>
      <c r="D23" s="31">
        <f t="shared" si="0"/>
        <v>21.550275912265562</v>
      </c>
    </row>
    <row r="25" spans="2:6" ht="21.75" customHeight="1" x14ac:dyDescent="0.3">
      <c r="B25" s="2" t="s">
        <v>137</v>
      </c>
      <c r="C25" s="2"/>
      <c r="D25" s="2"/>
      <c r="E25" s="2"/>
      <c r="F25" s="2"/>
    </row>
    <row r="27" spans="2:6" ht="69.75" customHeight="1" x14ac:dyDescent="0.3">
      <c r="B27" s="1" t="s">
        <v>138</v>
      </c>
      <c r="C27" s="1"/>
      <c r="D27" s="1"/>
      <c r="E27" s="1"/>
      <c r="F27" s="1"/>
    </row>
    <row r="29" spans="2:6" ht="21.75" customHeight="1" x14ac:dyDescent="0.3">
      <c r="B29" s="2" t="s">
        <v>139</v>
      </c>
      <c r="C29" s="2"/>
      <c r="D29" s="2"/>
      <c r="E29" s="2"/>
      <c r="F29" s="2"/>
    </row>
    <row r="31" spans="2:6" ht="94.5" customHeight="1" x14ac:dyDescent="0.3">
      <c r="B31" s="1" t="s">
        <v>140</v>
      </c>
      <c r="C31" s="1"/>
      <c r="D31" s="1"/>
      <c r="E31" s="1"/>
      <c r="F31" s="1"/>
    </row>
    <row r="33" spans="2:6" ht="33.75" customHeight="1" x14ac:dyDescent="0.3">
      <c r="B33" s="7" t="s">
        <v>141</v>
      </c>
      <c r="C33" s="7" t="s">
        <v>142</v>
      </c>
      <c r="D33" s="7" t="s">
        <v>143</v>
      </c>
    </row>
    <row r="34" spans="2:6" x14ac:dyDescent="0.3">
      <c r="B34" s="32">
        <v>0.1</v>
      </c>
      <c r="C34" s="33">
        <v>19186.282859999999</v>
      </c>
      <c r="D34" s="28"/>
    </row>
    <row r="35" spans="2:6" x14ac:dyDescent="0.3">
      <c r="B35" s="32">
        <v>0.15</v>
      </c>
      <c r="C35" s="33">
        <v>27325.394779999999</v>
      </c>
      <c r="D35" s="34">
        <f>C35-C34</f>
        <v>8139.1119199999994</v>
      </c>
    </row>
    <row r="36" spans="2:6" x14ac:dyDescent="0.3">
      <c r="B36" s="32">
        <v>0.2</v>
      </c>
      <c r="C36" s="33">
        <v>35464.506999999998</v>
      </c>
      <c r="D36" s="34">
        <f>C36-C35</f>
        <v>8139.1122199999991</v>
      </c>
    </row>
    <row r="37" spans="2:6" x14ac:dyDescent="0.3">
      <c r="B37" s="32">
        <v>0.25</v>
      </c>
      <c r="C37" s="33">
        <v>43603.618999999999</v>
      </c>
      <c r="D37" s="34">
        <f>C37-C36</f>
        <v>8139.112000000001</v>
      </c>
    </row>
    <row r="39" spans="2:6" ht="54.75" customHeight="1" x14ac:dyDescent="0.3">
      <c r="B39" s="1" t="s">
        <v>144</v>
      </c>
      <c r="C39" s="1"/>
      <c r="D39" s="1"/>
      <c r="E39" s="1"/>
      <c r="F39" s="1"/>
    </row>
    <row r="41" spans="2:6" ht="21.75" customHeight="1" x14ac:dyDescent="0.3">
      <c r="B41" s="2" t="s">
        <v>145</v>
      </c>
      <c r="C41" s="2"/>
      <c r="D41" s="2"/>
      <c r="E41" s="2"/>
      <c r="F41" s="2"/>
    </row>
    <row r="43" spans="2:6" ht="60" customHeight="1" x14ac:dyDescent="0.3">
      <c r="B43" s="1" t="s">
        <v>146</v>
      </c>
      <c r="C43" s="1"/>
      <c r="D43" s="1"/>
      <c r="E43" s="1"/>
      <c r="F43" s="1"/>
    </row>
    <row r="45" spans="2:6" ht="33.75" customHeight="1" x14ac:dyDescent="0.3">
      <c r="B45" s="7" t="s">
        <v>147</v>
      </c>
      <c r="C45" s="7" t="s">
        <v>148</v>
      </c>
      <c r="D45" s="7" t="s">
        <v>149</v>
      </c>
    </row>
    <row r="46" spans="2:6" x14ac:dyDescent="0.3">
      <c r="B46" s="23">
        <v>150</v>
      </c>
      <c r="C46" s="23">
        <v>200</v>
      </c>
      <c r="D46" s="35">
        <f>(C46-B46)/B46</f>
        <v>0.33333333333333331</v>
      </c>
    </row>
  </sheetData>
  <mergeCells count="11">
    <mergeCell ref="B43:F43"/>
    <mergeCell ref="B27:F27"/>
    <mergeCell ref="B29:F29"/>
    <mergeCell ref="B31:F31"/>
    <mergeCell ref="B39:F39"/>
    <mergeCell ref="B41:F41"/>
    <mergeCell ref="B2:F2"/>
    <mergeCell ref="B3:F3"/>
    <mergeCell ref="B5:F5"/>
    <mergeCell ref="B7:F7"/>
    <mergeCell ref="B25:F25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Formula_Cheatsheet</vt:lpstr>
      <vt:lpstr>Revenue_Model_Math_TH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Tankhun Luengchaicharn</cp:lastModifiedBy>
  <cp:revision>0</cp:revision>
  <dcterms:created xsi:type="dcterms:W3CDTF">2026-09-13T18:00:58Z</dcterms:created>
  <dcterms:modified xsi:type="dcterms:W3CDTF">2026-09-14T12:34:56Z</dcterms:modified>
  <dc:language>en-US</dc:language>
</cp:coreProperties>
</file>